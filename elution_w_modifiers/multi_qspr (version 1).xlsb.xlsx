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C:\Users\tryg.nelson\predelute\"/>
    </mc:Choice>
  </mc:AlternateContent>
  <xr:revisionPtr revIDLastSave="0" documentId="13_ncr:1_{DB8479B7-A48B-4D82-8C9D-0A504FC6BDF4}" xr6:coauthVersionLast="47" xr6:coauthVersionMax="47" xr10:uidLastSave="{00000000-0000-0000-0000-000000000000}"/>
  <bookViews>
    <workbookView xWindow="5850" yWindow="3105" windowWidth="21600" windowHeight="11175" xr2:uid="{2BAE5BAA-B67F-4A55-8051-3E6A5D6CBDAC}"/>
  </bookViews>
  <sheets>
    <sheet name="multi_qspr" sheetId="1" r:id="rId1"/>
    <sheet name="Sheet6" sheetId="6" r:id="rId2"/>
    <sheet name="Sheet7" sheetId="7" r:id="rId3"/>
    <sheet name="Sheet8" sheetId="8" r:id="rId4"/>
    <sheet name="Sheet10" sheetId="10" r:id="rId5"/>
    <sheet name="Sheet12" sheetId="12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6" i="12" l="1"/>
  <c r="Z117" i="12"/>
  <c r="Z118" i="12"/>
  <c r="Z115" i="12"/>
  <c r="I2" i="8"/>
  <c r="I5" i="8"/>
  <c r="I8" i="8"/>
  <c r="I11" i="8"/>
  <c r="I14" i="8"/>
  <c r="I17" i="8"/>
  <c r="I20" i="8"/>
  <c r="I23" i="8"/>
  <c r="I26" i="8"/>
  <c r="H5" i="8"/>
  <c r="H8" i="8"/>
  <c r="H11" i="8"/>
  <c r="H14" i="8"/>
  <c r="H17" i="8"/>
  <c r="H20" i="8"/>
  <c r="H23" i="8"/>
  <c r="H26" i="8"/>
  <c r="H2" i="8"/>
</calcChain>
</file>

<file path=xl/sharedStrings.xml><?xml version="1.0" encoding="utf-8"?>
<sst xmlns="http://schemas.openxmlformats.org/spreadsheetml/2006/main" count="2275" uniqueCount="530">
  <si>
    <t>pH</t>
  </si>
  <si>
    <t>pH 6</t>
  </si>
  <si>
    <t>pH 5</t>
  </si>
  <si>
    <t>modifier</t>
  </si>
  <si>
    <t>Arginine</t>
  </si>
  <si>
    <t>NA</t>
  </si>
  <si>
    <t>Na</t>
  </si>
  <si>
    <t>None</t>
  </si>
  <si>
    <t>ethylene glycol</t>
  </si>
  <si>
    <t>propylene glycol</t>
  </si>
  <si>
    <t>Guanidine</t>
  </si>
  <si>
    <t>Sodium Caprylate</t>
  </si>
  <si>
    <t>column</t>
  </si>
  <si>
    <t>CEX</t>
  </si>
  <si>
    <t>Capto MMC</t>
  </si>
  <si>
    <t>CM Seph</t>
  </si>
  <si>
    <t>SP Seph</t>
  </si>
  <si>
    <t>CM Sepharose FF</t>
  </si>
  <si>
    <t>Modifier concentration</t>
  </si>
  <si>
    <t>0 M</t>
  </si>
  <si>
    <t>0.025 M</t>
  </si>
  <si>
    <t>0.1 M</t>
  </si>
  <si>
    <t>no modifier</t>
  </si>
  <si>
    <t xml:space="preserve"> </t>
  </si>
  <si>
    <t>0.01 M</t>
  </si>
  <si>
    <t>Column1</t>
  </si>
  <si>
    <t>Column2</t>
  </si>
  <si>
    <t>Column3</t>
  </si>
  <si>
    <t>Column4</t>
  </si>
  <si>
    <t>Name</t>
  </si>
  <si>
    <t>AGGRESCAN_Nr_hotspots</t>
  </si>
  <si>
    <t>AGGRESCAN_a3v_value</t>
  </si>
  <si>
    <t>Aa_Composition</t>
  </si>
  <si>
    <t>Aa_Composition_Swissprot</t>
  </si>
  <si>
    <t>Aa_Flexibility_VTR</t>
  </si>
  <si>
    <t>All_AggScore</t>
  </si>
  <si>
    <t>All_Aggrescan_a4v</t>
  </si>
  <si>
    <t>All_Aggrescan_a4v_pos</t>
  </si>
  <si>
    <t>All_Aromatic_SASA</t>
  </si>
  <si>
    <t>All_Atomic_Contact_Energy</t>
  </si>
  <si>
    <t>All_Dipole_Moment</t>
  </si>
  <si>
    <t>All_Formal_Charge</t>
  </si>
  <si>
    <t>All_Greasy_SASA</t>
  </si>
  <si>
    <t>All_HB_Acceptor_SASA</t>
  </si>
  <si>
    <t>All_HB_Donor_SASA</t>
  </si>
  <si>
    <t>All_Hydrophilic_SASA</t>
  </si>
  <si>
    <t>All_Hydrophobic_Moment</t>
  </si>
  <si>
    <t>All_Hydrophobic_Patch_Energy</t>
  </si>
  <si>
    <t>All_Hydrophobic_Patch_Energy_gt15</t>
  </si>
  <si>
    <t>All_Hydrophobic_Patch_Energy_gt30</t>
  </si>
  <si>
    <t>All_Hydrophobic_SASA</t>
  </si>
  <si>
    <t>All_Moment_of_Inertia</t>
  </si>
  <si>
    <t>All_Negative_Patch_Energy</t>
  </si>
  <si>
    <t>All_Negative_Patch_Energy_gt30</t>
  </si>
  <si>
    <t>All_Negative_Patch_Energy_gt50</t>
  </si>
  <si>
    <t>All_Negative_formal_SASA</t>
  </si>
  <si>
    <t>All_Negative_partial_SASA</t>
  </si>
  <si>
    <t>All_Positive_Patch_Energy</t>
  </si>
  <si>
    <t>All_Positive_Patch_Energy_gt30</t>
  </si>
  <si>
    <t>All_Positive_Patch_Energy_gt50</t>
  </si>
  <si>
    <t>All_Positive_formal_SASA</t>
  </si>
  <si>
    <t>All_Positive_partial_SASA</t>
  </si>
  <si>
    <t>All_SASA</t>
  </si>
  <si>
    <t>All_Zeta_Potential</t>
  </si>
  <si>
    <t>All_Zyggregator_profile_smoothed</t>
  </si>
  <si>
    <t>All_Zyggregator_profile_smoothed_pos</t>
  </si>
  <si>
    <t>Alpha_Helix_Chou_Fasman</t>
  </si>
  <si>
    <t>Alpha_Helix_Deleage_Roux</t>
  </si>
  <si>
    <t>Alpha_Helix_Levitt</t>
  </si>
  <si>
    <t>Antiparallel_Beta_Strand</t>
  </si>
  <si>
    <t>Apparent_Charge_eV</t>
  </si>
  <si>
    <t>Atomic_contact_energy</t>
  </si>
  <si>
    <t>Average_Flexibility_BP</t>
  </si>
  <si>
    <t>Avg_Area_Buried</t>
  </si>
  <si>
    <t>Avg_Score_Hyd_Patches</t>
  </si>
  <si>
    <t>Avg_Score_Neg_Patches</t>
  </si>
  <si>
    <t>Avg_Score_Pos_Patches</t>
  </si>
  <si>
    <t>Avg_Size_Hyd_Patches</t>
  </si>
  <si>
    <t>Avg_Size_Neg_Patches</t>
  </si>
  <si>
    <t>Avg_Size_Pos_Patches</t>
  </si>
  <si>
    <t>Beta_Sheet_Chou_Fasman</t>
  </si>
  <si>
    <t>Beta_Sheet_Deleage_Roux</t>
  </si>
  <si>
    <t>Beta_Sheet_Levitt</t>
  </si>
  <si>
    <t>Beta_Turn_Chou_Fasman</t>
  </si>
  <si>
    <t>Beta_Turn_Deleage_Roux</t>
  </si>
  <si>
    <t>Beta_Turn_Levitt</t>
  </si>
  <si>
    <t>Bulkiness</t>
  </si>
  <si>
    <t>Coil_Deleage_Roux</t>
  </si>
  <si>
    <t>Connectivity</t>
  </si>
  <si>
    <t>Debye_length</t>
  </si>
  <si>
    <t>Dipole_X_direction</t>
  </si>
  <si>
    <t>Dipole_Y_direction</t>
  </si>
  <si>
    <t>Dipole_Z_direction</t>
  </si>
  <si>
    <t>Dipole_moment</t>
  </si>
  <si>
    <t>Disorder_Propensity_DisProt</t>
  </si>
  <si>
    <t>Disorder_Propensity_FoldUnfold</t>
  </si>
  <si>
    <t>Disorder_Propensity_TOP_IDP</t>
  </si>
  <si>
    <t>Drag_coeffient</t>
  </si>
  <si>
    <t>Electrophoretic_mobility</t>
  </si>
  <si>
    <t>Exposed_agg_surf_area</t>
  </si>
  <si>
    <t>Formal_Charge_eV</t>
  </si>
  <si>
    <t>HPLC_Retention_Ph_2_1</t>
  </si>
  <si>
    <t>HPLC_Tfa_Retention</t>
  </si>
  <si>
    <t>Hplc_Hfba_Retention</t>
  </si>
  <si>
    <t>Hplc_Retention_Ph_7_4</t>
  </si>
  <si>
    <t>Hydrodynamic_radius</t>
  </si>
  <si>
    <t>Hydrophobic_X_direction</t>
  </si>
  <si>
    <t>Hydrophobic_Y_direction</t>
  </si>
  <si>
    <t>Hydrophobic_Z_direction</t>
  </si>
  <si>
    <t>Hydrophobicity_Abraham_Leo</t>
  </si>
  <si>
    <t>Hydrophobicity_Black</t>
  </si>
  <si>
    <t>Hydrophobicity_Bull_Breese</t>
  </si>
  <si>
    <t>Hydrophobicity_Chothia</t>
  </si>
  <si>
    <t>Hydrophobicity_Eisenberg</t>
  </si>
  <si>
    <t>Hydrophobicity_Fauchere</t>
  </si>
  <si>
    <t>Hydrophobicity_Guy</t>
  </si>
  <si>
    <t>Hydrophobicity_Hopp_Woods</t>
  </si>
  <si>
    <t>Hydrophobicity_Hplc_Parker</t>
  </si>
  <si>
    <t>Hydrophobicity_Hplc_Ph_3_4_Cowan</t>
  </si>
  <si>
    <t>Hydrophobicity_Hplc_Ph_7_5_Cowan</t>
  </si>
  <si>
    <t>Hydrophobicity_Hplc_Wilson</t>
  </si>
  <si>
    <t>Hydrophobicity_Janin</t>
  </si>
  <si>
    <t>Hydrophobicity_Kyte_Doolittle</t>
  </si>
  <si>
    <t>Hydrophobicity_Manavalan</t>
  </si>
  <si>
    <t>Hydrophobicity_Miyazawa_Jernigan</t>
  </si>
  <si>
    <t>Hydrophobicity_Rao_Argos</t>
  </si>
  <si>
    <t>Hydrophobicity_Rf_Mobility</t>
  </si>
  <si>
    <t>Hydrophobicity_Rose</t>
  </si>
  <si>
    <t>Hydrophobicity_Roseman</t>
  </si>
  <si>
    <t>Hydrophobicity_Sweet</t>
  </si>
  <si>
    <t>Hydrophobicity_Tanford</t>
  </si>
  <si>
    <t>Hydrophobicity_Welling</t>
  </si>
  <si>
    <t>Hydrophobicity_Wolfenden</t>
  </si>
  <si>
    <t>Hydrophobicity_moment_KD</t>
  </si>
  <si>
    <t>Hydrophobicity_moment_Rosman</t>
  </si>
  <si>
    <t>Inertia_X_direction</t>
  </si>
  <si>
    <t>Inertia_Y_direction</t>
  </si>
  <si>
    <t>Inertia_Z_direction</t>
  </si>
  <si>
    <t>Ionic_strength</t>
  </si>
  <si>
    <t>Max_Score_Hyd_Patches</t>
  </si>
  <si>
    <t>Max_Score_Neg_Patches</t>
  </si>
  <si>
    <t>Max_Score_Pos_Patches</t>
  </si>
  <si>
    <t>Max_Size_Hyd_Patches</t>
  </si>
  <si>
    <t>Max_Size_Neg_Patches</t>
  </si>
  <si>
    <t>Max_Size_Pos_Patches</t>
  </si>
  <si>
    <t>Molecular_Weight</t>
  </si>
  <si>
    <t>Molecular_weight_kDa</t>
  </si>
  <si>
    <t>Net_Charge_model_based</t>
  </si>
  <si>
    <t>Net_Charge_propka_based</t>
  </si>
  <si>
    <t>Nr_Hyd_Patches</t>
  </si>
  <si>
    <t>Nr_Hyd_Patches_gt250</t>
  </si>
  <si>
    <t>Nr_Hyd_Patches_gt500</t>
  </si>
  <si>
    <t>Nr_Neg_Patches</t>
  </si>
  <si>
    <t>Nr_Neg_Patches_gt250</t>
  </si>
  <si>
    <t>Nr_Neg_Patches_gt500</t>
  </si>
  <si>
    <t>Nr_Pos_Patches</t>
  </si>
  <si>
    <t>Nr_Pos_Patches_gt250</t>
  </si>
  <si>
    <t>Nr_Pos_Patches_gt500</t>
  </si>
  <si>
    <t>Nr_of_hydrogen_bonds</t>
  </si>
  <si>
    <t>Nr_rotatable_bonds</t>
  </si>
  <si>
    <t>Number_Of_Codons</t>
  </si>
  <si>
    <t>Parallel_Beta_Strand</t>
  </si>
  <si>
    <t>Percentage_Accessible_Res</t>
  </si>
  <si>
    <t>Percentage_Buried_Res</t>
  </si>
  <si>
    <t>Polarity_Grantham</t>
  </si>
  <si>
    <t>Polarity_Zimmerman</t>
  </si>
  <si>
    <t>Radius_of_gyration</t>
  </si>
  <si>
    <t>Ratio_Hetero_End_Side</t>
  </si>
  <si>
    <t>Recognition_Factors</t>
  </si>
  <si>
    <t>Refractivity</t>
  </si>
  <si>
    <t>Relative_Mutability</t>
  </si>
  <si>
    <t>Sedimentation_constant</t>
  </si>
  <si>
    <t>Sum_Score_Hyd_Patches</t>
  </si>
  <si>
    <t>Sum_Score_Neg_Patches</t>
  </si>
  <si>
    <t>Sum_Score_Pos_Patches</t>
  </si>
  <si>
    <t>Sum_Size_Hyd_Patches</t>
  </si>
  <si>
    <t>Sum_Size_Neg_Patches</t>
  </si>
  <si>
    <t>Sum_Size_Pos_Patches</t>
  </si>
  <si>
    <t>Total_Beta_Strand</t>
  </si>
  <si>
    <t>Total_acceptor_SASA</t>
  </si>
  <si>
    <t>Total_aromatic_SASA</t>
  </si>
  <si>
    <t>Total_donor_SASA</t>
  </si>
  <si>
    <t>Total_hydrophil_SASA_slogp</t>
  </si>
  <si>
    <t>Total_hydrophilic_SASA</t>
  </si>
  <si>
    <t>Total_hydrophob_SASA_slogp</t>
  </si>
  <si>
    <t>Total_hydrophobic_SASA</t>
  </si>
  <si>
    <t>Total_negative_SASA</t>
  </si>
  <si>
    <t>Total_positive_SASA</t>
  </si>
  <si>
    <t>Transmembrane_Tendency</t>
  </si>
  <si>
    <t>Volume_asa_based</t>
  </si>
  <si>
    <t>Volume_vdw_based</t>
  </si>
  <si>
    <t>ZYGGREGATOR_p_agg</t>
  </si>
  <si>
    <t>ZYGGREGATOR_z_agg</t>
  </si>
  <si>
    <t>Zeta_potential</t>
  </si>
  <si>
    <t>pI_PROPKA_based</t>
  </si>
  <si>
    <t>pI_model_pKa_based</t>
  </si>
  <si>
    <t>alpha-chymotrypsin</t>
  </si>
  <si>
    <t>alpha-chymotrypsinogen a</t>
  </si>
  <si>
    <t>alph-chymotrypsinogen a</t>
  </si>
  <si>
    <t>aprotinin</t>
  </si>
  <si>
    <t>avidin</t>
  </si>
  <si>
    <t>beta-chymotrypsin</t>
  </si>
  <si>
    <t>beta-lactoglobulin B</t>
  </si>
  <si>
    <t>bovine serum albumin</t>
  </si>
  <si>
    <t>bovine trypsin</t>
  </si>
  <si>
    <t>carbonic anhydrase</t>
  </si>
  <si>
    <t>conalbumin</t>
  </si>
  <si>
    <t>horse cytochrome c</t>
  </si>
  <si>
    <t>human serum albumin</t>
  </si>
  <si>
    <t>l-glutamic dehydrogenase</t>
  </si>
  <si>
    <t>l-glutamic dehydorgenase</t>
  </si>
  <si>
    <t>lipoxidase</t>
  </si>
  <si>
    <t>lysozyme</t>
  </si>
  <si>
    <t>Lysozyme</t>
  </si>
  <si>
    <t>papain</t>
  </si>
  <si>
    <t>peanut lectin</t>
  </si>
  <si>
    <t>porcine albumin</t>
  </si>
  <si>
    <t>porcine trypsin</t>
  </si>
  <si>
    <t>ribonuclease a</t>
  </si>
  <si>
    <t>ribonuclease b</t>
  </si>
  <si>
    <t>sheep albumin</t>
  </si>
  <si>
    <t>trypsinogen</t>
  </si>
  <si>
    <t>ubiquitin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</si>
  <si>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</si>
  <si>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</si>
  <si>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</si>
  <si>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</si>
  <si>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</si>
  <si>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</si>
  <si>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</si>
  <si>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</si>
  <si>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</si>
  <si>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</si>
  <si>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</si>
  <si>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</si>
  <si>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</si>
  <si>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</si>
  <si>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</si>
  <si>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</si>
  <si>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</si>
  <si>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</si>
  <si>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</si>
  <si>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</si>
  <si>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</si>
  <si>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</si>
  <si>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</si>
  <si>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</si>
  <si>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</si>
  <si>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</si>
  <si>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</si>
  <si>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</si>
  <si>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</si>
  <si>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</si>
  <si>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</si>
  <si>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</si>
  <si>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</si>
  <si>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</si>
  <si>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</si>
  <si>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</si>
  <si>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</si>
  <si>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</si>
  <si>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</si>
  <si>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</si>
  <si>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</si>
  <si>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</si>
  <si>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</si>
  <si>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</si>
  <si>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</si>
  <si>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</si>
  <si>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</si>
  <si>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</si>
  <si>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</si>
  <si>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</si>
  <si>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</si>
  <si>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</si>
  <si>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</si>
  <si>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</si>
  <si>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</si>
  <si>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</si>
  <si>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</si>
  <si>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</si>
  <si>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</si>
  <si>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</si>
  <si>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</si>
  <si>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</si>
  <si>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</si>
  <si>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</si>
  <si>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</si>
  <si>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</si>
  <si>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</si>
  <si>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</si>
  <si>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</si>
  <si>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</si>
  <si>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</si>
  <si>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</si>
  <si>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</si>
  <si>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</si>
  <si>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</si>
  <si>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</si>
  <si>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</si>
  <si>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</si>
  <si>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</si>
  <si>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</si>
  <si>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</si>
  <si>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</si>
  <si>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</si>
  <si>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</si>
  <si>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</si>
  <si>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</si>
  <si>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</si>
  <si>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</si>
  <si>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</si>
  <si>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</si>
  <si>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</si>
  <si>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</si>
  <si>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</si>
  <si>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</si>
  <si>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</si>
  <si>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</si>
  <si>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</si>
  <si>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</si>
  <si>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</si>
  <si>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</si>
  <si>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</si>
  <si>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</si>
  <si>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</si>
  <si>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</si>
  <si>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</si>
  <si>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</si>
  <si>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</si>
  <si>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</si>
  <si>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</si>
  <si>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</si>
  <si>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</si>
  <si>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</si>
  <si>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</si>
  <si>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</si>
  <si>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</si>
  <si>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</si>
  <si>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</si>
  <si>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</si>
  <si>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</si>
  <si>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</si>
  <si>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</si>
  <si>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</si>
  <si>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</si>
  <si>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</si>
  <si>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</si>
  <si>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</si>
  <si>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</si>
  <si>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</si>
  <si>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</si>
  <si>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</si>
  <si>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</si>
  <si>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</si>
  <si>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</si>
  <si>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</si>
  <si>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</si>
  <si>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</si>
  <si>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</si>
  <si>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</si>
  <si>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</si>
  <si>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</si>
  <si>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</si>
  <si>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</si>
  <si>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</si>
  <si>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</si>
  <si>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</si>
  <si>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</si>
  <si>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</si>
  <si>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</si>
  <si>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</si>
  <si>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</si>
  <si>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</si>
  <si>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</si>
  <si>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</si>
  <si>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</si>
  <si>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</si>
  <si>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</si>
  <si>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</si>
  <si>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</si>
  <si>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</si>
  <si>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</si>
  <si>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</si>
  <si>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</si>
  <si>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</si>
  <si>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</si>
  <si>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Modifier</t>
  </si>
  <si>
    <t>Resin</t>
  </si>
  <si>
    <t>Exp</t>
  </si>
  <si>
    <t>Test R²</t>
  </si>
  <si>
    <t>condition</t>
  </si>
  <si>
    <t>n_seeds</t>
  </si>
  <si>
    <t>0.025M</t>
  </si>
  <si>
    <t>0.1M</t>
  </si>
  <si>
    <t>0.01M</t>
  </si>
  <si>
    <t>alpha</t>
  </si>
  <si>
    <t>n_components</t>
  </si>
  <si>
    <t>var_thresh</t>
  </si>
  <si>
    <t>corr_thresh</t>
  </si>
  <si>
    <t>Experiment</t>
  </si>
  <si>
    <t>python train_independent_with_concentration.py ^
--alpha 10 --n_components 8 ^
--n_seeds 10 ^
--var_thresh 0.05 --corr_thresh 0.97 ^
--experiments 1 ^
--output independent_with_concentration.csv</t>
  </si>
  <si>
    <t>python train_independent_with_concentration.py ^
--alpha 10 --n_components 7 ^
--n_seeds 10 ^
--var_thresh 0.05 --corr_thresh 0.97 ^
--experiments 3 ^
--output independent_with_concentration.csv</t>
  </si>
  <si>
    <t>Model</t>
  </si>
  <si>
    <t>Linear Regression</t>
  </si>
  <si>
    <t>No</t>
  </si>
  <si>
    <t>compare_models_baseline.py</t>
  </si>
  <si>
    <t>Ridge Regression</t>
  </si>
  <si>
    <t>Lasso Regression</t>
  </si>
  <si>
    <t>SVR (RBF kernel)</t>
  </si>
  <si>
    <t>Random Forest</t>
  </si>
  <si>
    <t>XGBoost</t>
  </si>
  <si>
    <t>k-NN Similarity</t>
  </si>
  <si>
    <t>compare_similarity_vs_nn.py</t>
  </si>
  <si>
    <t>Siamese NN (Symmetric)</t>
  </si>
  <si>
    <t>Siamese NN (Asymmetric)</t>
  </si>
  <si>
    <t>N/A</t>
  </si>
  <si>
    <t>R² Std</t>
  </si>
  <si>
    <t>Validation Method</t>
  </si>
  <si>
    <t>Single train/test split</t>
  </si>
  <si>
    <t>Per-query inference</t>
  </si>
  <si>
    <t>± 0.04</t>
  </si>
  <si>
    <t>Random CV (5 seeds)</t>
  </si>
  <si>
    <t>± 0.05</t>
  </si>
  <si>
    <t>Script Name</t>
  </si>
  <si>
    <t>Leave-one-out</t>
  </si>
  <si>
    <t>PCA (13 components) + Ridge</t>
  </si>
  <si>
    <t>train_twohead_mtl.py (with --ab_swap)</t>
  </si>
  <si>
    <t>train_twohead_mtl.py (no --ab_swap)</t>
  </si>
  <si>
    <t>train_twohead_mtl.py (with --ab_swap)</t>
  </si>
  <si>
    <t>Condition</t>
  </si>
  <si>
    <t>Method</t>
  </si>
  <si>
    <t>0.00 M</t>
  </si>
  <si>
    <t>0.000 M</t>
  </si>
  <si>
    <t>0.100 M</t>
  </si>
  <si>
    <t>MAE</t>
  </si>
  <si>
    <t>Average MAE</t>
  </si>
  <si>
    <r>
      <t>R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</t>
    </r>
  </si>
  <si>
    <r>
      <t>Average R</t>
    </r>
    <r>
      <rPr>
        <vertAlign val="superscript"/>
        <sz val="11"/>
        <color theme="1"/>
        <rFont val="Aptos Narrow"/>
        <family val="2"/>
        <scheme val="minor"/>
      </rPr>
      <t>2</t>
    </r>
  </si>
  <si>
    <t>CLI</t>
  </si>
  <si>
    <t>ProDes + ridge</t>
  </si>
  <si>
    <t>Components</t>
  </si>
  <si>
    <t xml:space="preserve">python test_prodes_comprehensive.py ^
--n_components 8,9,10,11,12,13,15,20 ^
--alpha 2 ^
--models ridge ^
--experiment 3 ^
</t>
  </si>
  <si>
    <t xml:space="preserve">python test_prodes_comprehensive.py ^
--n_components 4,6,8,10,12,13,14,15,16,20 ^
--alpha 10 ^
--models ridge ^
--experiment 1  ^
--corr_thresh 0.99 
</t>
  </si>
  <si>
    <t xml:space="preserve">python test_prodes_comprehensive.py ^
--n_components 3,4,5,6,7,8,10,12,15,20 ^
--alpha 1 ^
--models ridge ^
--experiment 4 ^
--corr_thresh 0.80 </t>
  </si>
  <si>
    <t xml:space="preserve">python test_prodes_comprehensive.py ^
--n_components 4,5,6,8,10,12,15,20 ^
--alpha 10 ^
--models ridge ^
--experiment 2 ^
--corr_thresh 0.80 
</t>
  </si>
  <si>
    <t xml:space="preserve">python test_prodes_comprehensive.py ^
--n_components 3,4,5,6,7,8,9,10,11,12,15,20 ^
--alpha 50 ^
--models ridge ^
--experiment 5 </t>
  </si>
  <si>
    <t>python test_prodes_comprehensive.py ^
--n_components 3,4,5,6,7,8,9,10,11,12,15,20 ^
--alpha 50 ^
--models ridge ^
--experiment 6</t>
  </si>
  <si>
    <t>Column</t>
  </si>
  <si>
    <t>CM Sepharose</t>
  </si>
  <si>
    <t>SP Sepharose</t>
  </si>
  <si>
    <t>Ethylene Glycol</t>
  </si>
  <si>
    <t>Propylene Glycol</t>
  </si>
  <si>
    <t>python test_prodes_comprehensive.py ^
--n_components 3,4,5,6,7,8,9,10,11,12,13,14,15,20 ^
--alpha 0.1 ^
--models ridge ^
--experiment 9 ^
--corr_thresh 0.80</t>
  </si>
  <si>
    <t xml:space="preserve">python test_prodes_comprehensive.py ^
--n_components 3,4,5,6,7,8,9,10,11,12,13,14,15,20 ^
--alpha 0.1 ^
--models ridge ^
--experiment 8 </t>
  </si>
  <si>
    <t>python test_prodes_comprehensive.py ^
--n_components 3,4,5,6,7,8,9,10,11,12,13,14,15,20 ^
--alpha 1 ^
--models ridge ^
--experiment 7 ^
--corr_thresh 0.81</t>
  </si>
  <si>
    <t>…</t>
  </si>
  <si>
    <t>alpha 5</t>
  </si>
  <si>
    <t>PC</t>
  </si>
  <si>
    <t>N_full</t>
  </si>
  <si>
    <t>R²_full</t>
  </si>
  <si>
    <t>R²_dedup</t>
  </si>
  <si>
    <t>ΔR²</t>
  </si>
  <si>
    <t>Bias</t>
  </si>
  <si>
    <t>CM</t>
  </si>
  <si>
    <t>⚠️</t>
  </si>
  <si>
    <t>Mod</t>
  </si>
  <si>
    <t>✓</t>
  </si>
  <si>
    <t>Low</t>
  </si>
  <si>
    <t>0M</t>
  </si>
  <si>
    <t>SP</t>
  </si>
  <si>
    <t>High</t>
  </si>
  <si>
    <t>Capto</t>
  </si>
  <si>
    <t>20% theylene glycol</t>
  </si>
  <si>
    <t>20% propylene glycol</t>
  </si>
  <si>
    <t>alpha 10</t>
  </si>
  <si>
    <t>correlation threshold</t>
  </si>
  <si>
    <t>corr_thresh 0.95</t>
  </si>
  <si>
    <t xml:space="preserve">variance threshold </t>
  </si>
  <si>
    <t>full or dedupe</t>
  </si>
  <si>
    <t>Modifier Conc</t>
  </si>
  <si>
    <t>0.10 M</t>
  </si>
  <si>
    <t>full pool</t>
  </si>
  <si>
    <t>dedupe</t>
  </si>
  <si>
    <t>n_full</t>
  </si>
  <si>
    <t>full r^2</t>
  </si>
  <si>
    <t>dedupe r^2</t>
  </si>
  <si>
    <t>n_features</t>
  </si>
  <si>
    <t xml:space="preserve">n_components </t>
  </si>
  <si>
    <t>experiment</t>
  </si>
  <si>
    <t>experiment_name</t>
  </si>
  <si>
    <t>condition_idx</t>
  </si>
  <si>
    <t>n_dedup</t>
  </si>
  <si>
    <t>r2_full</t>
  </si>
  <si>
    <t>r2_dedup</t>
  </si>
  <si>
    <t>mae_full</t>
  </si>
  <si>
    <t>mae_dedup</t>
  </si>
  <si>
    <t>std_r2_full</t>
  </si>
  <si>
    <t>std_r2_dedup</t>
  </si>
  <si>
    <t>delta_r2</t>
  </si>
  <si>
    <t>Arginine on CEX (pH 6)</t>
  </si>
  <si>
    <t>Arginine on Capto MMC (pH 6)</t>
  </si>
  <si>
    <t>Guanidine on CEX (pH 6)</t>
  </si>
  <si>
    <t>Guanidine on Capto MMC (pH 6)</t>
  </si>
  <si>
    <t>pH 5 - Different resins</t>
  </si>
  <si>
    <t>pH 6 - Different resins</t>
  </si>
  <si>
    <t>Polyols on Capto MMC (pH 6)</t>
  </si>
  <si>
    <t>No modifier</t>
  </si>
  <si>
    <t>20% ethylene glycol</t>
  </si>
  <si>
    <t>Sodium Caprylate on CM Sepharose FF (pH 6)</t>
  </si>
  <si>
    <t>Sodium Caprylate on Capto MMC (pH 6)</t>
  </si>
  <si>
    <t>var thresh</t>
  </si>
  <si>
    <t>corr thresh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</si>
  <si>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</si>
  <si>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std dev</t>
  </si>
  <si>
    <t>mae</t>
  </si>
  <si>
    <t>[Modifier]</t>
  </si>
  <si>
    <t>Elution</t>
  </si>
  <si>
    <t>SP Sepharose FF</t>
  </si>
  <si>
    <t xml:space="preserve">0.025 M Arginine </t>
  </si>
  <si>
    <t>Rank</t>
  </si>
  <si>
    <t>0.025 M Guanidine</t>
  </si>
  <si>
    <t>0.10 M Arginine</t>
  </si>
  <si>
    <t>0.10 M Guanidine</t>
  </si>
  <si>
    <t>delta</t>
  </si>
  <si>
    <r>
      <t>E</t>
    </r>
    <r>
      <rPr>
        <i/>
        <vertAlign val="subscript"/>
        <sz val="9"/>
        <color theme="1"/>
        <rFont val="Aptos Narrow"/>
        <family val="2"/>
        <scheme val="minor"/>
      </rPr>
      <t>wt</t>
    </r>
  </si>
  <si>
    <r>
      <t>E</t>
    </r>
    <r>
      <rPr>
        <i/>
        <vertAlign val="subscript"/>
        <sz val="9"/>
        <color theme="1"/>
        <rFont val="Aptos Narrow"/>
        <family val="2"/>
        <scheme val="minor"/>
      </rPr>
      <t>truncated</t>
    </r>
  </si>
  <si>
    <t>Error (+/-)</t>
  </si>
  <si>
    <r>
      <t>E</t>
    </r>
    <r>
      <rPr>
        <i/>
        <vertAlign val="subscript"/>
        <sz val="9"/>
        <color theme="1"/>
        <rFont val="Aptos Narrow"/>
        <family val="2"/>
        <scheme val="minor"/>
      </rPr>
      <t>predicted</t>
    </r>
  </si>
  <si>
    <r>
      <t>r</t>
    </r>
    <r>
      <rPr>
        <b/>
        <vertAlign val="superscript"/>
        <sz val="8"/>
        <color theme="1"/>
        <rFont val="Aptos Narrow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</si>
</sst>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Calibri"/>
      <family val="2"/>
    </font>
    <font>
      <sz val="22"/>
      <color theme="1"/>
      <name val="Calibri"/>
      <family val="2"/>
    </font>
    <font>
      <sz val="11"/>
      <color theme="1"/>
      <name val="Berlin Sans FB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Courier New"/>
      <family val="3"/>
    </font>
    <font>
      <sz val="48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vertAlign val="subscript"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vertAlign val="superscript"/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 tint="-0.249977111117893"/>
      </bottom>
      <diagonal/>
    </border>
    <border>
      <left style="thin">
        <color theme="1"/>
      </left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2" tint="-0.249977111117893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10" xfId="1" applyFont="1" applyBorder="1" applyAlignment="1"/>
    <xf numFmtId="0" fontId="5" fillId="2" borderId="9" xfId="1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0" borderId="1" xfId="0" applyFont="1" applyBorder="1"/>
    <xf numFmtId="0" fontId="5" fillId="2" borderId="11" xfId="1" applyFont="1" applyBorder="1" applyAlignment="1"/>
    <xf numFmtId="0" fontId="5" fillId="2" borderId="1" xfId="1" applyFont="1" applyBorder="1" applyAlignment="1">
      <alignment vertical="center" wrapText="1"/>
    </xf>
    <xf numFmtId="0" fontId="5" fillId="2" borderId="14" xfId="1" applyFont="1" applyBorder="1" applyAlignment="1"/>
    <xf numFmtId="9" fontId="5" fillId="2" borderId="1" xfId="1" applyNumberFormat="1" applyFont="1" applyBorder="1" applyAlignment="1">
      <alignment vertical="center"/>
    </xf>
    <xf numFmtId="0" fontId="5" fillId="2" borderId="9" xfId="1" applyFont="1" applyBorder="1" applyAlignment="1"/>
    <xf numFmtId="0" fontId="5" fillId="2" borderId="1" xfId="1" applyFont="1" applyBorder="1" applyAlignment="1"/>
    <xf numFmtId="2" fontId="5" fillId="2" borderId="1" xfId="1" applyNumberFormat="1" applyFont="1" applyBorder="1" applyAlignment="1"/>
    <xf numFmtId="0" fontId="5" fillId="0" borderId="0" xfId="0" applyFont="1"/>
    <xf numFmtId="0" fontId="5" fillId="2" borderId="12" xfId="1" applyFont="1" applyBorder="1" applyAlignment="1"/>
    <xf numFmtId="0" fontId="5" fillId="2" borderId="0" xfId="1" applyFont="1" applyAlignment="1"/>
    <xf numFmtId="0" fontId="5" fillId="2" borderId="0" xfId="1" applyFont="1" applyBorder="1" applyAlignment="1"/>
    <xf numFmtId="2" fontId="5" fillId="2" borderId="0" xfId="1" applyNumberFormat="1" applyFont="1" applyBorder="1" applyAlignment="1"/>
    <xf numFmtId="0" fontId="5" fillId="2" borderId="0" xfId="1" applyFont="1" applyBorder="1" applyAlignment="1">
      <alignment vertical="center"/>
    </xf>
    <xf numFmtId="0" fontId="5" fillId="0" borderId="0" xfId="0" applyFont="1" applyAlignment="1">
      <alignment vertical="center"/>
    </xf>
    <xf numFmtId="11" fontId="5" fillId="0" borderId="0" xfId="0" applyNumberFormat="1" applyFont="1" applyAlignment="1">
      <alignment vertical="center"/>
    </xf>
    <xf numFmtId="0" fontId="5" fillId="2" borderId="0" xfId="1" applyFont="1" applyAlignment="1">
      <alignment vertical="center"/>
    </xf>
    <xf numFmtId="0" fontId="5" fillId="2" borderId="2" xfId="1" applyFont="1" applyBorder="1" applyAlignment="1"/>
    <xf numFmtId="2" fontId="5" fillId="2" borderId="0" xfId="1" applyNumberFormat="1" applyFont="1" applyAlignment="1"/>
    <xf numFmtId="0" fontId="5" fillId="2" borderId="13" xfId="1" applyFont="1" applyBorder="1" applyAlignment="1"/>
    <xf numFmtId="0" fontId="6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11" fontId="5" fillId="0" borderId="0" xfId="0" applyNumberFormat="1" applyFont="1"/>
    <xf numFmtId="0" fontId="1" fillId="2" borderId="0" xfId="1" applyBorder="1" applyAlignment="1"/>
    <xf numFmtId="0" fontId="7" fillId="2" borderId="1" xfId="1" applyFont="1" applyBorder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5" fontId="0" fillId="0" borderId="0" xfId="0" applyNumberFormat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5" borderId="0" xfId="0" applyFill="1"/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0" xfId="0" applyFont="1"/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 textRotation="255"/>
    </xf>
    <xf numFmtId="0" fontId="9" fillId="0" borderId="0" xfId="0" applyFont="1" applyAlignment="1">
      <alignment horizontal="right" vertical="center" textRotation="255"/>
    </xf>
    <xf numFmtId="164" fontId="9" fillId="0" borderId="0" xfId="0" applyNumberFormat="1" applyFont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2" fillId="0" borderId="1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14" fillId="5" borderId="3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  <xf numFmtId="164" fontId="0" fillId="4" borderId="4" xfId="0" applyNumberForma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wrapText="1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2">
    <cellStyle name="20% - Accent3" xfId="1" builtinId="38"/>
    <cellStyle name="Normal" xfId="0" builtinId="0"/>
  </cellStyles>
  <dxfs count="55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thin">
          <color theme="1"/>
        </right>
        <top/>
        <bottom/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thin">
          <color theme="1"/>
        </right>
        <top/>
        <bottom/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/>
        <bottom/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/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  <border diagonalUp="0" diagonalDown="0">
        <left/>
        <right style="thin">
          <color theme="1"/>
        </right>
        <top/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5" formatCode="0.00E+0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5" formatCode="0.00E+0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5" formatCode="0.00E+0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5" formatCode="0.00E+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5" formatCode="0.00E+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wrapText="0" indent="0" justifyLastLine="0" shrinkToFit="0" readingOrder="0"/>
    </dxf>
    <dxf>
      <border outline="0">
        <left style="thin">
          <color theme="1"/>
        </left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wrapText="0" indent="0" justifyLastLine="0" shrinkToFit="0" readingOrder="0"/>
    </dxf>
    <dxf>
      <border outline="0">
        <left style="thin">
          <color theme="1"/>
        </left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wrapText="0" indent="0" justifyLastLine="0" shrinkToFit="0" readingOrder="0"/>
    </dxf>
    <dxf>
      <border outline="0">
        <top style="thin">
          <color indexed="64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wrapText="0" indent="0" justifyLastLine="0" shrinkToFit="0" readingOrder="0"/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2" formatCode="0.00"/>
      <alignment horizontal="general" textRotation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wrapText="0" indent="0" justifyLastLine="0" shrinkToFit="0" readingOrder="0"/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theme="1"/>
        </left>
        <right/>
        <top/>
        <bottom/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wrapText="0" indent="0" justifyLastLine="0" shrinkToFit="0" readingOrder="0"/>
    </dxf>
    <dxf>
      <border outline="0">
        <left style="thin">
          <color indexed="64"/>
        </left>
        <right style="thin">
          <color theme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textRotation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8F6EF-5DAB-4DAE-9764-7A75F69618D3}" name="Table4" displayName="Table4" ref="B5:E29" totalsRowShown="0" headerRowDxfId="552" dataDxfId="550" headerRowBorderDxfId="551" tableBorderDxfId="549" headerRowCellStyle="20% - Accent3" dataCellStyle="20% - Accent3">
  <autoFilter ref="B5:E29" xr:uid="{BED8F6EF-5DAB-4DAE-9764-7A75F69618D3}"/>
  <sortState xmlns:xlrd2="http://schemas.microsoft.com/office/spreadsheetml/2017/richdata2" ref="B6:E29">
    <sortCondition ref="B5:B29"/>
  </sortState>
  <tableColumns count="4">
    <tableColumn id="1" xr3:uid="{B3A16935-6357-4F74-8BEA-6F7E6611FE26}" name="Column1" dataDxfId="548" dataCellStyle="20% - Accent3"/>
    <tableColumn id="2" xr3:uid="{D728ABD7-F6A6-4689-B9E7-2E3557ADB571}" name="Column2" dataDxfId="547" dataCellStyle="20% - Accent3"/>
    <tableColumn id="3" xr3:uid="{2298843A-A533-4E73-96CA-77AF74CEDF0B}" name="Column3" dataDxfId="546" dataCellStyle="20% - Accent3"/>
    <tableColumn id="4" xr3:uid="{94575D35-F802-46BE-A03F-5A9637F80AB0}" name="Column4" dataDxfId="545" dataCellStyle="20% - Accent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DAA6D-5079-4D18-B15A-D110871F5996}" name="Table5" displayName="Table5" ref="F5:I29" totalsRowShown="0" headerRowDxfId="544" dataDxfId="542" headerRowBorderDxfId="543" tableBorderDxfId="541" headerRowCellStyle="20% - Accent3" dataCellStyle="20% - Accent3">
  <autoFilter ref="F5:I29" xr:uid="{0CFDAA6D-5079-4D18-B15A-D110871F5996}"/>
  <sortState xmlns:xlrd2="http://schemas.microsoft.com/office/spreadsheetml/2017/richdata2" ref="F6:I29">
    <sortCondition ref="F5:F29"/>
  </sortState>
  <tableColumns count="4">
    <tableColumn id="1" xr3:uid="{BB3BB606-A31B-4D32-85EB-6B8984968766}" name="Column1" dataDxfId="540" dataCellStyle="20% - Accent3"/>
    <tableColumn id="2" xr3:uid="{B7113A0A-9302-4388-BC57-3D7D9B86286D}" name="Column2" dataDxfId="539" dataCellStyle="20% - Accent3"/>
    <tableColumn id="3" xr3:uid="{B589882C-2FC0-4AAA-A6BB-0246B23E14C1}" name="Column3" dataDxfId="538" dataCellStyle="20% - Accent3"/>
    <tableColumn id="4" xr3:uid="{6CB782B4-262A-4E08-8253-037CC7BFB765}" name="Column4" dataDxfId="537" dataCellStyle="20% - Accent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7F5EE3-10CE-4EFE-B391-37BBE58F7A9D}" name="Table6" displayName="Table6" ref="R5:U29" totalsRowShown="0" headerRowDxfId="536" dataDxfId="534" headerRowBorderDxfId="535" tableBorderDxfId="533" headerRowCellStyle="20% - Accent3" dataCellStyle="20% - Accent3">
  <autoFilter ref="R5:U29" xr:uid="{9E7F5EE3-10CE-4EFE-B391-37BBE58F7A9D}"/>
  <sortState xmlns:xlrd2="http://schemas.microsoft.com/office/spreadsheetml/2017/richdata2" ref="R6:U29">
    <sortCondition ref="R5:R29"/>
  </sortState>
  <tableColumns count="4">
    <tableColumn id="1" xr3:uid="{673D8383-AD1C-4FEF-949D-F8BB65B96253}" name="Column1" dataDxfId="532" dataCellStyle="20% - Accent3"/>
    <tableColumn id="2" xr3:uid="{7403CC5A-FFB9-40CD-9466-8F7E0EF80A0E}" name="Column2" dataDxfId="531" dataCellStyle="20% - Accent3"/>
    <tableColumn id="3" xr3:uid="{E1A4B7F3-5576-4506-BC37-A2D48AC1F37E}" name="Column3" dataDxfId="530" dataCellStyle="20% - Accent3"/>
    <tableColumn id="4" xr3:uid="{0D4BE14B-4109-4E45-9F95-CA8255916634}" name="Column4" dataDxfId="529" dataCellStyle="20% - Accent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7393E2-F11D-4791-B1DB-3E02E13C3DA4}" name="Table7" displayName="Table7" ref="V5:Y29" totalsRowShown="0" headerRowDxfId="528" dataDxfId="526" headerRowBorderDxfId="527" tableBorderDxfId="525" headerRowCellStyle="20% - Accent3" dataCellStyle="20% - Accent3">
  <autoFilter ref="V5:Y29" xr:uid="{837393E2-F11D-4791-B1DB-3E02E13C3DA4}"/>
  <sortState xmlns:xlrd2="http://schemas.microsoft.com/office/spreadsheetml/2017/richdata2" ref="V6:Y29">
    <sortCondition ref="V5:V29"/>
  </sortState>
  <tableColumns count="4">
    <tableColumn id="1" xr3:uid="{7277F2A6-9140-489E-8103-A31514FD04B9}" name="Column1" dataDxfId="524" dataCellStyle="20% - Accent3"/>
    <tableColumn id="2" xr3:uid="{CF7C1E58-B543-4433-9259-50C129AF372D}" name="Column2" dataDxfId="523" dataCellStyle="20% - Accent3"/>
    <tableColumn id="3" xr3:uid="{A0D9D45F-C71C-4BA9-8CBE-FC1FBF36381D}" name="Column3" dataDxfId="522" dataCellStyle="20% - Accent3"/>
    <tableColumn id="4" xr3:uid="{AFA3A365-D944-4EC4-A5E9-0B32596C8CBA}" name="Column4" dataDxfId="521" dataCellStyle="20% - Accent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69C1C6-2A23-4458-9C1C-D9AF5F9E310D}" name="Table8" displayName="Table8" ref="Z5:AC29" totalsRowShown="0" headerRowDxfId="520" dataDxfId="518" headerRowBorderDxfId="519" tableBorderDxfId="517" headerRowCellStyle="20% - Accent3" dataCellStyle="20% - Accent3">
  <autoFilter ref="Z5:AC29" xr:uid="{3169C1C6-2A23-4458-9C1C-D9AF5F9E310D}"/>
  <sortState xmlns:xlrd2="http://schemas.microsoft.com/office/spreadsheetml/2017/richdata2" ref="Z6:AC29">
    <sortCondition ref="Z5:Z29"/>
  </sortState>
  <tableColumns count="4">
    <tableColumn id="1" xr3:uid="{39B342D9-4A9D-44B8-A20D-1BAD256DD430}" name="Column1" dataDxfId="516" dataCellStyle="20% - Accent3"/>
    <tableColumn id="2" xr3:uid="{3C2F6553-7859-486D-B5E3-85376D1E2B62}" name="Column2" dataDxfId="515" dataCellStyle="20% - Accent3"/>
    <tableColumn id="3" xr3:uid="{15BC7E80-F01B-4A5B-9A3A-D584DD2FD2D5}" name="Column3" dataDxfId="514" dataCellStyle="20% - Accent3"/>
    <tableColumn id="4" xr3:uid="{77A4BBA4-F5E6-478B-944A-711119D00592}" name="Column4" dataDxfId="513" dataCellStyle="20% - Accent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4FF5EA-6772-432F-8226-0381CD9C79B6}" name="Table9" displayName="Table9" ref="J5:M29" totalsRowShown="0" headerRowDxfId="512" dataDxfId="510" headerRowBorderDxfId="511" tableBorderDxfId="509" headerRowCellStyle="20% - Accent3" dataCellStyle="20% - Accent3">
  <autoFilter ref="J5:M29" xr:uid="{EE4FF5EA-6772-432F-8226-0381CD9C79B6}"/>
  <sortState xmlns:xlrd2="http://schemas.microsoft.com/office/spreadsheetml/2017/richdata2" ref="J6:M29">
    <sortCondition ref="J5:J29"/>
  </sortState>
  <tableColumns count="4">
    <tableColumn id="1" xr3:uid="{88166AEB-5CB0-4AAF-BE4C-549E3742AE1A}" name="Column1" dataDxfId="508" dataCellStyle="20% - Accent3"/>
    <tableColumn id="2" xr3:uid="{9A9C8D46-8F8F-436B-A14A-271196A8B67F}" name="Column2" dataDxfId="507" dataCellStyle="20% - Accent3"/>
    <tableColumn id="3" xr3:uid="{D1CEB5B2-9550-40F6-BCD0-5B2FA7E81B1E}" name="Column3" dataDxfId="506" dataCellStyle="20% - Accent3"/>
    <tableColumn id="4" xr3:uid="{0886C272-FE91-4D6B-8150-2E00B35C8D96}" name="Column4" dataDxfId="505" dataCellStyle="20% - Accent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02CED8-61D8-4C5C-AA1E-221E65E48387}" name="Table10" displayName="Table10" ref="N5:Q29" totalsRowShown="0" headerRowDxfId="504" dataDxfId="502" headerRowBorderDxfId="503" tableBorderDxfId="501" headerRowCellStyle="20% - Accent3" dataCellStyle="20% - Accent3">
  <autoFilter ref="N5:Q29" xr:uid="{0C02CED8-61D8-4C5C-AA1E-221E65E48387}"/>
  <sortState xmlns:xlrd2="http://schemas.microsoft.com/office/spreadsheetml/2017/richdata2" ref="N6:Q29">
    <sortCondition ref="N5:N29"/>
  </sortState>
  <tableColumns count="4">
    <tableColumn id="1" xr3:uid="{E15EDC60-4DC0-4B0E-B908-EF7FCBB58C63}" name="Column1" dataDxfId="500" dataCellStyle="20% - Accent3"/>
    <tableColumn id="2" xr3:uid="{4C7D5167-624B-45FB-B916-22D89F904D32}" name="Column2" dataDxfId="499" dataCellStyle="20% - Accent3"/>
    <tableColumn id="3" xr3:uid="{B85242D2-D3AD-44DB-9E11-05A811D7A2C6}" name="Column3" dataDxfId="498" dataCellStyle="20% - Accent3"/>
    <tableColumn id="4" xr3:uid="{2B89450D-52F8-441E-877E-70EF843E96D4}" name="Column4" dataDxfId="497" dataCellStyle="20% - Accent3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BB2A44-321F-42F0-94FC-99DFEC14E0CF}" name="Table11" displayName="Table11" ref="AD5:AG29" totalsRowShown="0" headerRowDxfId="496" dataDxfId="494" headerRowBorderDxfId="495" tableBorderDxfId="493" headerRowCellStyle="20% - Accent3" dataCellStyle="20% - Accent3">
  <autoFilter ref="AD5:AG29" xr:uid="{73BB2A44-321F-42F0-94FC-99DFEC14E0CF}"/>
  <sortState xmlns:xlrd2="http://schemas.microsoft.com/office/spreadsheetml/2017/richdata2" ref="AD6:AG29">
    <sortCondition ref="AD5:AD29"/>
  </sortState>
  <tableColumns count="4">
    <tableColumn id="1" xr3:uid="{40E5366F-C00C-40CB-850D-E5C6EA5C08B2}" name="Column1" dataDxfId="492" dataCellStyle="20% - Accent3"/>
    <tableColumn id="2" xr3:uid="{9CBFA8D5-238D-47F5-A627-68CC405EAA5A}" name="Column2" dataDxfId="491" dataCellStyle="20% - Accent3"/>
    <tableColumn id="3" xr3:uid="{29631DD9-B998-4AB1-97D7-D67FF6EC17D2}" name="Column3" dataDxfId="490" dataCellStyle="20% - Accent3"/>
    <tableColumn id="4" xr3:uid="{BBEB9F5E-C4F5-4CCA-8C63-1110D32611B5}" name="Column4" dataDxfId="489" dataCellStyle="20% - Accent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8E25D2-045B-4FD9-B849-946B08A5261D}" name="Table12" displayName="Table12" ref="AH5:AK29" totalsRowShown="0" headerRowDxfId="488" dataDxfId="486" headerRowBorderDxfId="487" tableBorderDxfId="485" headerRowCellStyle="20% - Accent3" dataCellStyle="20% - Accent3">
  <autoFilter ref="AH5:AK29" xr:uid="{DC8E25D2-045B-4FD9-B849-946B08A5261D}"/>
  <sortState xmlns:xlrd2="http://schemas.microsoft.com/office/spreadsheetml/2017/richdata2" ref="AH6:AK29">
    <sortCondition ref="AH5:AH29"/>
  </sortState>
  <tableColumns count="4">
    <tableColumn id="1" xr3:uid="{478346BA-65A8-4475-B7B7-1BC79E64F8E8}" name="Column1" dataDxfId="484" dataCellStyle="20% - Accent3"/>
    <tableColumn id="2" xr3:uid="{7FD9179D-927E-4DDE-9DF6-B715F7F1B657}" name="Column2" dataDxfId="483" dataCellStyle="20% - Accent3"/>
    <tableColumn id="3" xr3:uid="{59674817-24C2-4D18-BC8A-C8CBAE8920D3}" name="Column3" dataDxfId="482" dataCellStyle="20% - Accent3"/>
    <tableColumn id="4" xr3:uid="{26EC2F9B-D6C8-49AF-9471-1F1DA1847FD9}" name="Column4" dataDxfId="481" dataCellStyle="20% - Accent3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71700D8-6952-4FDC-BBA2-456B74B69FC4}" name="Table115" displayName="Table115" ref="AL5:GV29" totalsRowShown="0" headerRowDxfId="480" dataDxfId="479">
  <autoFilter ref="AL5:GV29" xr:uid="{271700D8-6952-4FDC-BBA2-456B74B69FC4}"/>
  <sortState xmlns:xlrd2="http://schemas.microsoft.com/office/spreadsheetml/2017/richdata2" ref="AL6:GV29">
    <sortCondition ref="AL1:AL25"/>
  </sortState>
  <tableColumns count="167">
    <tableColumn id="1" xr3:uid="{4D1E9DDA-FCCD-4706-A7DB-C7F791F588C9}" name="Name" dataDxfId="478"/>
    <tableColumn id="2" xr3:uid="{E5BB1513-FEC0-4672-8235-EFA21CE80EB4}" name="AGGRESCAN_Nr_hotspots" dataDxfId="477"/>
    <tableColumn id="3" xr3:uid="{20D54B44-76B8-4D86-ADFA-017E5E8E32E9}" name="AGGRESCAN_a3v_value" dataDxfId="476"/>
    <tableColumn id="4" xr3:uid="{B290CA1E-967F-4F10-BD17-7B79BB17D7F0}" name="Aa_Composition" dataDxfId="475"/>
    <tableColumn id="5" xr3:uid="{92273D1A-2764-4CB1-8123-A7221E3AA529}" name="Aa_Composition_Swissprot" dataDxfId="474"/>
    <tableColumn id="6" xr3:uid="{F795F7B5-89DC-4221-804E-4F9091C2F074}" name="Aa_Flexibility_VTR" dataDxfId="473"/>
    <tableColumn id="7" xr3:uid="{D22BD69A-6D92-4FD4-83E1-A83868DE8E77}" name="All_AggScore" dataDxfId="472"/>
    <tableColumn id="8" xr3:uid="{D715DFBE-07C9-4067-AC0C-BB292E7C85F1}" name="All_Aggrescan_a4v" dataDxfId="471"/>
    <tableColumn id="9" xr3:uid="{E694B15F-0852-4010-B9BD-EE2DE209AC70}" name="All_Aggrescan_a4v_pos" dataDxfId="470"/>
    <tableColumn id="10" xr3:uid="{88F412D4-2B8C-479D-8360-45136F6C6D69}" name="All_Aromatic_SASA" dataDxfId="469"/>
    <tableColumn id="11" xr3:uid="{0764B98E-18E7-416C-9CD1-ECB9D092102D}" name="All_Atomic_Contact_Energy" dataDxfId="468"/>
    <tableColumn id="12" xr3:uid="{1988DA67-A608-45ED-92F9-B5252ADF1987}" name="All_Dipole_Moment" dataDxfId="467"/>
    <tableColumn id="13" xr3:uid="{ACE9F588-58C1-40CE-805A-8A6909B886B7}" name="All_Formal_Charge" dataDxfId="466"/>
    <tableColumn id="14" xr3:uid="{FC07066A-C1C4-4A4B-A9B0-3F95985B5617}" name="All_Greasy_SASA" dataDxfId="465"/>
    <tableColumn id="15" xr3:uid="{AFC28E65-6806-4305-9BA7-8A5DECEC7AAF}" name="All_HB_Acceptor_SASA" dataDxfId="464"/>
    <tableColumn id="16" xr3:uid="{00F730E4-462C-4C96-8D64-326C07D12CBD}" name="All_HB_Donor_SASA" dataDxfId="463"/>
    <tableColumn id="17" xr3:uid="{05D32634-692A-4420-AE9A-70B2323F1656}" name="All_Hydrophilic_SASA" dataDxfId="462"/>
    <tableColumn id="18" xr3:uid="{D2F9B909-B64F-4D09-8866-ABB18C062055}" name="All_Hydrophobic_Moment" dataDxfId="461"/>
    <tableColumn id="19" xr3:uid="{04FEB437-890A-4C73-A6BD-09EBFB054E5F}" name="All_Hydrophobic_Patch_Energy" dataDxfId="460"/>
    <tableColumn id="20" xr3:uid="{AC6FAA45-E7C1-4990-AD47-D413CD33CCB9}" name="All_Hydrophobic_Patch_Energy_gt15" dataDxfId="459"/>
    <tableColumn id="21" xr3:uid="{E06A9BF4-08B8-4BF2-AE51-FD6DC5BE36C8}" name="All_Hydrophobic_Patch_Energy_gt30" dataDxfId="458"/>
    <tableColumn id="22" xr3:uid="{2C8F04DA-07AB-4FA3-89A4-2A6EFBF3CFFF}" name="All_Hydrophobic_SASA" dataDxfId="457"/>
    <tableColumn id="23" xr3:uid="{48893ADA-9A67-4934-B441-E6883A91B334}" name="All_Moment_of_Inertia" dataDxfId="456"/>
    <tableColumn id="24" xr3:uid="{378D58AE-9A15-4756-940D-CBAA0413E47F}" name="All_Negative_Patch_Energy" dataDxfId="455"/>
    <tableColumn id="25" xr3:uid="{B5B84B37-D888-4117-8CC3-1D982F5BC234}" name="All_Negative_Patch_Energy_gt30" dataDxfId="454"/>
    <tableColumn id="26" xr3:uid="{A9E4A9AF-75FF-4D22-A243-F90CED769768}" name="All_Negative_Patch_Energy_gt50" dataDxfId="453"/>
    <tableColumn id="27" xr3:uid="{FA370229-5BC2-432E-AF9B-0C0B310EF374}" name="All_Negative_formal_SASA" dataDxfId="452"/>
    <tableColumn id="28" xr3:uid="{B644B352-8569-4CEC-8A3C-1D2C1EC894A6}" name="All_Negative_partial_SASA" dataDxfId="451"/>
    <tableColumn id="29" xr3:uid="{37169FDE-16D3-49A0-804A-96D2626FA9B6}" name="All_Positive_Patch_Energy" dataDxfId="450"/>
    <tableColumn id="30" xr3:uid="{CE8A0AF7-A7A5-4B24-A2DF-B7473D9124B3}" name="All_Positive_Patch_Energy_gt30" dataDxfId="449"/>
    <tableColumn id="31" xr3:uid="{31D82E5E-E82A-4254-AA8F-F5B7BD791665}" name="All_Positive_Patch_Energy_gt50" dataDxfId="448"/>
    <tableColumn id="32" xr3:uid="{1D37D7F7-4815-4D31-8E1B-C4299DFE52A2}" name="All_Positive_formal_SASA" dataDxfId="447"/>
    <tableColumn id="33" xr3:uid="{369A2BC6-C9A2-4894-AF49-AFDC8CD2F883}" name="All_Positive_partial_SASA" dataDxfId="446"/>
    <tableColumn id="34" xr3:uid="{FC66B8F3-FAFD-4116-9A0B-DC7E0AC3185F}" name="All_SASA" dataDxfId="445"/>
    <tableColumn id="35" xr3:uid="{9B6F3105-36FE-405B-977E-325406F81460}" name="All_Zeta_Potential" dataDxfId="444"/>
    <tableColumn id="36" xr3:uid="{0E324DA4-AF0B-4EEA-AA49-413F4E94F466}" name="All_Zyggregator_profile_smoothed" dataDxfId="443"/>
    <tableColumn id="37" xr3:uid="{99A2F84E-6093-4FA9-8238-80283389D379}" name="All_Zyggregator_profile_smoothed_pos" dataDxfId="442"/>
    <tableColumn id="38" xr3:uid="{BD172786-6BCF-42A9-B9E3-E56F4615557A}" name="Alpha_Helix_Chou_Fasman" dataDxfId="441"/>
    <tableColumn id="39" xr3:uid="{817DD6AF-2171-439F-9985-4E653B6B86E9}" name="Alpha_Helix_Deleage_Roux" dataDxfId="440"/>
    <tableColumn id="40" xr3:uid="{0A540F1C-B7B2-4456-B66D-1508417EEB6B}" name="Alpha_Helix_Levitt" dataDxfId="439"/>
    <tableColumn id="41" xr3:uid="{A2484598-099D-4E50-98A7-DA14732286B2}" name="Antiparallel_Beta_Strand" dataDxfId="438"/>
    <tableColumn id="42" xr3:uid="{D7B58DC8-6A08-4BAC-85FA-FAE02A28ABE8}" name="Apparent_Charge_eV" dataDxfId="437"/>
    <tableColumn id="43" xr3:uid="{32D831F9-170B-4084-8564-AB72D07BA0F2}" name="Atomic_contact_energy" dataDxfId="436"/>
    <tableColumn id="44" xr3:uid="{1B969E0F-A5C9-47A9-9C3E-F4D81D2E37D4}" name="Average_Flexibility_BP" dataDxfId="435"/>
    <tableColumn id="45" xr3:uid="{F7ED4AE2-DA4D-4BF2-9783-B7133B177623}" name="Avg_Area_Buried" dataDxfId="434"/>
    <tableColumn id="46" xr3:uid="{F23422C4-080D-4319-9CB0-F1954BE2140A}" name="Avg_Score_Hyd_Patches" dataDxfId="433"/>
    <tableColumn id="47" xr3:uid="{433FE43B-5B3F-436B-8862-562C313C04D7}" name="Avg_Score_Neg_Patches" dataDxfId="432"/>
    <tableColumn id="48" xr3:uid="{028EA0AC-BF2D-4496-B43C-CA62653DF662}" name="Avg_Score_Pos_Patches" dataDxfId="431"/>
    <tableColumn id="49" xr3:uid="{8529BEF0-C8EE-4641-8A63-F78C4615B519}" name="Avg_Size_Hyd_Patches" dataDxfId="430"/>
    <tableColumn id="50" xr3:uid="{67793C8D-4E8A-489D-B8FC-26630C31CBCF}" name="Avg_Size_Neg_Patches" dataDxfId="429"/>
    <tableColumn id="51" xr3:uid="{F17EC06B-406A-4455-92EE-06D687C04766}" name="Avg_Size_Pos_Patches" dataDxfId="428"/>
    <tableColumn id="52" xr3:uid="{AABFCAB8-2FEE-4EAE-9B08-9B774F7CF6FF}" name="Beta_Sheet_Chou_Fasman" dataDxfId="427"/>
    <tableColumn id="53" xr3:uid="{F33E89C9-A5E0-4237-9C32-B46123F982FF}" name="Beta_Sheet_Deleage_Roux" dataDxfId="426"/>
    <tableColumn id="54" xr3:uid="{7A10C866-E578-4302-ACEF-44D0F826020B}" name="Beta_Sheet_Levitt" dataDxfId="425"/>
    <tableColumn id="55" xr3:uid="{D1827815-94E7-444B-AC50-AF88B3F57881}" name="Beta_Turn_Chou_Fasman" dataDxfId="424"/>
    <tableColumn id="56" xr3:uid="{A83FBEFF-B967-44D2-844E-4B34CE357BFE}" name="Beta_Turn_Deleage_Roux" dataDxfId="423"/>
    <tableColumn id="57" xr3:uid="{0AA8C3AF-7AE8-4B73-AF6B-BAE60D64554B}" name="Beta_Turn_Levitt" dataDxfId="422"/>
    <tableColumn id="58" xr3:uid="{C79BE246-AC91-458A-A98D-274BE5781756}" name="Bulkiness" dataDxfId="421"/>
    <tableColumn id="59" xr3:uid="{DBA20EAA-0362-4609-A11C-50B658488E74}" name="Coil_Deleage_Roux" dataDxfId="420"/>
    <tableColumn id="60" xr3:uid="{A3D02089-6CDC-45FD-80C4-FB7793332F7A}" name="Connectivity" dataDxfId="419"/>
    <tableColumn id="61" xr3:uid="{0447C1D1-8491-474E-B2B6-6B0C47322F29}" name="Debye_length" dataDxfId="418"/>
    <tableColumn id="62" xr3:uid="{19235542-2AB9-4E60-A06A-75C3C8F08C03}" name="Dipole_X_direction" dataDxfId="417"/>
    <tableColumn id="63" xr3:uid="{8F757D4B-9FA3-4F57-86A4-B4E02F8268E3}" name="Dipole_Y_direction" dataDxfId="416"/>
    <tableColumn id="64" xr3:uid="{187AA476-591A-4420-A361-A9E4F77F52EE}" name="Dipole_Z_direction" dataDxfId="415"/>
    <tableColumn id="65" xr3:uid="{41E1F482-90EC-4D21-A2AA-A6BD3E819769}" name="Dipole_moment" dataDxfId="414"/>
    <tableColumn id="66" xr3:uid="{822E1BD9-9245-4889-851B-9995A5E686BD}" name="Disorder_Propensity_DisProt" dataDxfId="413"/>
    <tableColumn id="67" xr3:uid="{A52B4942-1C3C-42E0-B91F-9E220820992C}" name="Disorder_Propensity_FoldUnfold" dataDxfId="412"/>
    <tableColumn id="68" xr3:uid="{5C210307-AD0C-4611-A670-261314D0BEB6}" name="Disorder_Propensity_TOP_IDP" dataDxfId="411"/>
    <tableColumn id="69" xr3:uid="{8A63BFB7-7177-4530-961D-3BF1E417ECF2}" name="Drag_coeffient" dataDxfId="410"/>
    <tableColumn id="70" xr3:uid="{F81540FF-CE06-4225-8732-2573FF080D8E}" name="Electrophoretic_mobility" dataDxfId="409"/>
    <tableColumn id="71" xr3:uid="{1C37A7C3-FC36-4E95-9EE7-6E9D9AF6C757}" name="Exposed_agg_surf_area" dataDxfId="408"/>
    <tableColumn id="72" xr3:uid="{52FECD34-4517-40B0-9B16-7AE0E1469082}" name="Formal_Charge_eV" dataDxfId="407"/>
    <tableColumn id="73" xr3:uid="{08C27CF1-62DF-4E44-A766-748ACA1FCA25}" name="HPLC_Retention_Ph_2_1" dataDxfId="406"/>
    <tableColumn id="74" xr3:uid="{0239F9FD-4213-4B59-8212-8793C3909A94}" name="HPLC_Tfa_Retention" dataDxfId="405"/>
    <tableColumn id="75" xr3:uid="{6FD642C0-0B4F-4027-91AC-ACCE0C48426B}" name="Hplc_Hfba_Retention" dataDxfId="404"/>
    <tableColumn id="76" xr3:uid="{8FC23BDA-E144-45F4-A78F-3D5CD1C988C8}" name="Hplc_Retention_Ph_7_4" dataDxfId="403"/>
    <tableColumn id="77" xr3:uid="{39EF3D4B-A8C2-4D08-A693-882B8F12C13B}" name="Hydrodynamic_radius" dataDxfId="402"/>
    <tableColumn id="78" xr3:uid="{7E62B1FE-6247-4185-91FB-A3786B054EDD}" name="Hydrophobic_X_direction" dataDxfId="401"/>
    <tableColumn id="79" xr3:uid="{A1258A93-9C5E-42F3-8B8F-6A5F38C08B2A}" name="Hydrophobic_Y_direction" dataDxfId="400"/>
    <tableColumn id="80" xr3:uid="{6DDD5176-8768-48B2-A32F-563DE96612B5}" name="Hydrophobic_Z_direction" dataDxfId="399"/>
    <tableColumn id="81" xr3:uid="{05A8CD19-927E-446B-8059-73473E74CD55}" name="Hydrophobicity_Abraham_Leo" dataDxfId="398"/>
    <tableColumn id="82" xr3:uid="{524E72AD-E4C2-4A4A-A731-B47FA191647C}" name="Hydrophobicity_Black" dataDxfId="397"/>
    <tableColumn id="83" xr3:uid="{1F3CD96F-03FB-4C7E-9890-2AF248CEF182}" name="Hydrophobicity_Bull_Breese" dataDxfId="396"/>
    <tableColumn id="84" xr3:uid="{126C9302-C8EA-427B-B94F-7CE8F38CACDA}" name="Hydrophobicity_Chothia" dataDxfId="395"/>
    <tableColumn id="85" xr3:uid="{C04CD6CF-8ABB-4696-8BE2-DEA9F743CEC1}" name="Hydrophobicity_Eisenberg" dataDxfId="394"/>
    <tableColumn id="86" xr3:uid="{993AC9D4-DE53-447E-A413-10265D2A0FCE}" name="Hydrophobicity_Fauchere" dataDxfId="393"/>
    <tableColumn id="87" xr3:uid="{A6DC999A-6097-4EA7-8C90-AC6698B9ECA9}" name="Hydrophobicity_Guy" dataDxfId="392"/>
    <tableColumn id="88" xr3:uid="{DCCC3141-B8D0-4579-BC73-84543B77BF62}" name="Hydrophobicity_Hopp_Woods" dataDxfId="391"/>
    <tableColumn id="89" xr3:uid="{D1E3F373-8FBA-4CD6-A6D2-CB9D411CC645}" name="Hydrophobicity_Hplc_Parker" dataDxfId="390"/>
    <tableColumn id="90" xr3:uid="{538BE726-B81D-46A9-9822-E576F2BD7F38}" name="Hydrophobicity_Hplc_Ph_3_4_Cowan" dataDxfId="389"/>
    <tableColumn id="91" xr3:uid="{3CB2B82F-5AC8-4BF8-A379-5FEFF860F574}" name="Hydrophobicity_Hplc_Ph_7_5_Cowan" dataDxfId="388"/>
    <tableColumn id="92" xr3:uid="{FDCBF7A1-9994-4E0F-986E-5E57467C0010}" name="Hydrophobicity_Hplc_Wilson" dataDxfId="387"/>
    <tableColumn id="93" xr3:uid="{C2AC854E-045A-435C-BE7C-B903CD569019}" name="Hydrophobicity_Janin" dataDxfId="386"/>
    <tableColumn id="94" xr3:uid="{545A71BF-7C9C-402F-88EC-0BCAC50B16D0}" name="Hydrophobicity_Kyte_Doolittle" dataDxfId="385"/>
    <tableColumn id="95" xr3:uid="{89A84460-38F4-46B3-824C-6DE272B94CD6}" name="Hydrophobicity_Manavalan" dataDxfId="384"/>
    <tableColumn id="96" xr3:uid="{CF734B92-B5AF-4812-A161-7C3E039C3B6E}" name="Hydrophobicity_Miyazawa_Jernigan" dataDxfId="383"/>
    <tableColumn id="97" xr3:uid="{65E15422-74DC-460F-933E-1484A87ACD7F}" name="Hydrophobicity_Rao_Argos" dataDxfId="382"/>
    <tableColumn id="98" xr3:uid="{791B41DC-C03D-423F-911D-C1DB4102C273}" name="Hydrophobicity_Rf_Mobility" dataDxfId="381"/>
    <tableColumn id="99" xr3:uid="{BD341774-B383-4CC0-A97B-1026AA3F99A5}" name="Hydrophobicity_Rose" dataDxfId="380"/>
    <tableColumn id="100" xr3:uid="{64FF2B9C-5CF9-4FD9-95EB-8FEDD0721175}" name="Hydrophobicity_Roseman" dataDxfId="379"/>
    <tableColumn id="101" xr3:uid="{450D4E97-0C5E-4231-8DEF-1306E56FE9F5}" name="Hydrophobicity_Sweet" dataDxfId="378"/>
    <tableColumn id="102" xr3:uid="{89D0EE06-998C-4A6E-92E5-C80B768D6621}" name="Hydrophobicity_Tanford" dataDxfId="377"/>
    <tableColumn id="103" xr3:uid="{A9D4A57F-1773-4D9D-9CCB-16CAFB696E92}" name="Hydrophobicity_Welling" dataDxfId="376"/>
    <tableColumn id="104" xr3:uid="{EE40D221-88D2-40D5-B809-EFCE6B36BFBC}" name="Hydrophobicity_Wolfenden" dataDxfId="375"/>
    <tableColumn id="105" xr3:uid="{997D96E6-D8BB-46C8-9434-5252518E40B5}" name="Hydrophobicity_moment_KD" dataDxfId="374"/>
    <tableColumn id="106" xr3:uid="{6B55A647-D102-40A5-A325-1217AACBA5AB}" name="Hydrophobicity_moment_Rosman" dataDxfId="373"/>
    <tableColumn id="107" xr3:uid="{CB9832BC-1CF5-4049-BF01-92EF7DC7809E}" name="Inertia_X_direction" dataDxfId="372"/>
    <tableColumn id="108" xr3:uid="{97FC9351-A464-4137-B17D-C5BD6CA718F3}" name="Inertia_Y_direction" dataDxfId="371"/>
    <tableColumn id="109" xr3:uid="{6662860F-D428-4E05-95E5-BB675E882B78}" name="Inertia_Z_direction" dataDxfId="370"/>
    <tableColumn id="110" xr3:uid="{5AB16A5C-34A8-4B73-9D91-3E18CA812A2E}" name="Ionic_strength" dataDxfId="369"/>
    <tableColumn id="111" xr3:uid="{C1A61FA4-FB23-457C-AAB3-3ACF8757D8AC}" name="Max_Score_Hyd_Patches" dataDxfId="368"/>
    <tableColumn id="112" xr3:uid="{E2A5BF09-F811-42C5-BD25-D34269D4BBF4}" name="Max_Score_Neg_Patches" dataDxfId="367"/>
    <tableColumn id="113" xr3:uid="{D8596067-CE6F-4AD9-88D5-8C7DD659BF3E}" name="Max_Score_Pos_Patches" dataDxfId="366"/>
    <tableColumn id="114" xr3:uid="{0DE387EC-CBC1-4ED5-9F8F-0179538FDDA3}" name="Max_Size_Hyd_Patches" dataDxfId="365"/>
    <tableColumn id="115" xr3:uid="{9E988253-F9EF-4741-8F0B-EFE81A5AE089}" name="Max_Size_Neg_Patches" dataDxfId="364"/>
    <tableColumn id="116" xr3:uid="{9EA6593A-F9F2-4422-9084-1BAA80F66DFB}" name="Max_Size_Pos_Patches" dataDxfId="363"/>
    <tableColumn id="117" xr3:uid="{D25DB3DC-DE6C-4F84-AD20-3F6BC8D379A1}" name="Molecular_Weight" dataDxfId="362"/>
    <tableColumn id="118" xr3:uid="{D4B0CB1E-57BB-4032-AC9F-FEFC3CDEA1C4}" name="Molecular_weight_kDa" dataDxfId="361"/>
    <tableColumn id="119" xr3:uid="{A27796D6-943D-45F8-A5B9-D00AB89CEF0E}" name="Net_Charge_model_based" dataDxfId="360"/>
    <tableColumn id="120" xr3:uid="{7CCFB9D4-D28B-46E8-B8CE-71C7CA692C45}" name="Net_Charge_propka_based" dataDxfId="359"/>
    <tableColumn id="121" xr3:uid="{D3BA8028-F425-432B-92BA-7BF7CFD979E2}" name="Nr_Hyd_Patches" dataDxfId="358"/>
    <tableColumn id="122" xr3:uid="{2FCBB506-9291-4190-B6A6-807268A4E6CE}" name="Nr_Hyd_Patches_gt250" dataDxfId="357"/>
    <tableColumn id="123" xr3:uid="{0226EEFF-A2F7-4CDF-AC52-44EDD38DBA60}" name="Nr_Hyd_Patches_gt500" dataDxfId="356"/>
    <tableColumn id="124" xr3:uid="{0F48D13D-BB97-414A-A44C-4D63C98FE754}" name="Nr_Neg_Patches" dataDxfId="355"/>
    <tableColumn id="125" xr3:uid="{3EDF1113-AEDC-4BF4-8E78-35E2A5F40BDB}" name="Nr_Neg_Patches_gt250" dataDxfId="354"/>
    <tableColumn id="126" xr3:uid="{042131AE-D744-4C3A-88CC-C13A29F80B7D}" name="Nr_Neg_Patches_gt500" dataDxfId="353"/>
    <tableColumn id="127" xr3:uid="{FB2A7596-9245-408A-B485-6487EBEEA6B9}" name="Nr_Pos_Patches" dataDxfId="352"/>
    <tableColumn id="128" xr3:uid="{562BDEC7-9A2F-4E38-B6FA-E1D5E9C67246}" name="Nr_Pos_Patches_gt250" dataDxfId="351"/>
    <tableColumn id="129" xr3:uid="{8CE1DDA8-5E49-4492-B0D7-F068595AE282}" name="Nr_Pos_Patches_gt500" dataDxfId="350"/>
    <tableColumn id="130" xr3:uid="{EEB28F7C-EDE9-4E70-94A7-1F32363C9BB6}" name="Nr_of_hydrogen_bonds" dataDxfId="349"/>
    <tableColumn id="131" xr3:uid="{A167F154-540A-4522-AD11-C21286CF7671}" name="Nr_rotatable_bonds" dataDxfId="348"/>
    <tableColumn id="132" xr3:uid="{E6F9BABC-F403-4F50-BBD2-EB174B41A65F}" name="Number_Of_Codons" dataDxfId="347"/>
    <tableColumn id="133" xr3:uid="{9E45B9A1-7B21-461A-9286-32E4B4D0A790}" name="Parallel_Beta_Strand" dataDxfId="346"/>
    <tableColumn id="134" xr3:uid="{8DCBD6A8-767B-408C-97BB-3C17B7A87AEF}" name="Percentage_Accessible_Res" dataDxfId="345"/>
    <tableColumn id="135" xr3:uid="{6AEC103D-384F-443C-8783-E6EC11F592F4}" name="Percentage_Buried_Res" dataDxfId="344"/>
    <tableColumn id="136" xr3:uid="{B84A5152-F5D7-40BC-9CFD-C742FCD3E9D2}" name="Polarity_Grantham" dataDxfId="343"/>
    <tableColumn id="137" xr3:uid="{DF33B77A-B9D9-4057-ABA9-654BC8E270F0}" name="Polarity_Zimmerman" dataDxfId="342"/>
    <tableColumn id="138" xr3:uid="{91CDC946-00EA-4E4C-906B-0DAF5F26EDD4}" name="Radius_of_gyration" dataDxfId="341"/>
    <tableColumn id="139" xr3:uid="{3EF38164-5C7A-48BD-96E2-B0F5095296BC}" name="Ratio_Hetero_End_Side" dataDxfId="340"/>
    <tableColumn id="140" xr3:uid="{F1F8A516-DC91-41CB-9D2D-FB8C4E0CD90F}" name="Recognition_Factors" dataDxfId="339"/>
    <tableColumn id="141" xr3:uid="{345E46E3-3E39-404A-962C-CB67297E65FE}" name="Refractivity" dataDxfId="338"/>
    <tableColumn id="142" xr3:uid="{F93DAA7C-063C-4D11-AE26-E609F94A3EC8}" name="Relative_Mutability" dataDxfId="337"/>
    <tableColumn id="143" xr3:uid="{AC7F145D-92D6-4F33-82C1-35D7C753EBDA}" name="Sedimentation_constant" dataDxfId="336"/>
    <tableColumn id="144" xr3:uid="{32F4B396-955A-4435-A19F-67AF1FDE4EA7}" name="Sum_Score_Hyd_Patches" dataDxfId="335"/>
    <tableColumn id="145" xr3:uid="{C9FC2C4F-9285-43C8-A79B-0858EAF1A765}" name="Sum_Score_Neg_Patches" dataDxfId="334"/>
    <tableColumn id="146" xr3:uid="{008D1C86-EB4B-475B-A0AC-7436EBC2C75D}" name="Sum_Score_Pos_Patches" dataDxfId="333"/>
    <tableColumn id="147" xr3:uid="{6A8F1883-4A28-4184-AA29-6B9ED6DC754C}" name="Sum_Size_Hyd_Patches" dataDxfId="332"/>
    <tableColumn id="148" xr3:uid="{AA9BD1D4-A0F7-4935-A77C-5B70F7DCDD94}" name="Sum_Size_Neg_Patches" dataDxfId="331"/>
    <tableColumn id="149" xr3:uid="{387BA2D1-1B85-4BFE-8FD1-23EA9E0D1846}" name="Sum_Size_Pos_Patches" dataDxfId="330"/>
    <tableColumn id="150" xr3:uid="{361F4F4C-8374-4ECF-948C-CB881F894BB7}" name="Total_Beta_Strand" dataDxfId="329"/>
    <tableColumn id="151" xr3:uid="{C083CB24-7700-4CE2-B24D-B4A9EC5E8D5C}" name="Total_acceptor_SASA" dataDxfId="328"/>
    <tableColumn id="152" xr3:uid="{338D804A-5AD6-4704-ACB5-411022741F8A}" name="Total_aromatic_SASA" dataDxfId="327"/>
    <tableColumn id="153" xr3:uid="{25860314-6E56-4D16-815F-E331C7305551}" name="Total_donor_SASA" dataDxfId="326"/>
    <tableColumn id="154" xr3:uid="{4FFD68AE-8B3B-4296-A4E1-863433108F8B}" name="Total_hydrophil_SASA_slogp" dataDxfId="325"/>
    <tableColumn id="155" xr3:uid="{7BE15890-0135-459C-9D17-DA1433967459}" name="Total_hydrophilic_SASA" dataDxfId="324"/>
    <tableColumn id="156" xr3:uid="{642568D0-B65A-4080-B3CA-A8D513C90538}" name="Total_hydrophob_SASA_slogp" dataDxfId="323"/>
    <tableColumn id="157" xr3:uid="{1ED39C24-77FA-4F9E-BF52-0BC053B29C82}" name="Total_hydrophobic_SASA" dataDxfId="322"/>
    <tableColumn id="158" xr3:uid="{E9620C41-161A-4B07-9767-43A0EC026AFE}" name="Total_negative_SASA" dataDxfId="321"/>
    <tableColumn id="159" xr3:uid="{0A421891-A56F-4276-989C-25E1D38F32D5}" name="Total_positive_SASA" dataDxfId="320"/>
    <tableColumn id="160" xr3:uid="{06767695-A39C-4C49-8DF6-A72F95B24B93}" name="Transmembrane_Tendency" dataDxfId="319"/>
    <tableColumn id="161" xr3:uid="{5ED5391E-D280-45A0-A95B-FB129F307DB6}" name="Volume_asa_based" dataDxfId="318"/>
    <tableColumn id="162" xr3:uid="{85809669-0033-4843-BF92-14E6AE3A2544}" name="Volume_vdw_based" dataDxfId="317"/>
    <tableColumn id="163" xr3:uid="{DC2279B4-9676-408A-8CB8-670A1F5D2C7F}" name="ZYGGREGATOR_p_agg" dataDxfId="316"/>
    <tableColumn id="164" xr3:uid="{4263B39C-FC81-490E-AE7D-702C19F2791E}" name="ZYGGREGATOR_z_agg" dataDxfId="315"/>
    <tableColumn id="165" xr3:uid="{AB2BA751-B026-46CE-8024-394F2DD4ED70}" name="Zeta_potential" dataDxfId="314"/>
    <tableColumn id="166" xr3:uid="{3632A4E3-C6D9-4991-997F-C074F3CDF424}" name="pI_PROPKA_based" dataDxfId="313"/>
    <tableColumn id="167" xr3:uid="{3686C7A7-3AD4-4A7C-AB7A-5732FB1BC421}" name="pI_model_pKa_based" dataDxfId="312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5025858-6DEB-4AD3-83FA-22415D168C4D}" name="Table13" displayName="Table13" ref="AL30:GV54" totalsRowShown="0" headerRowDxfId="311" dataDxfId="310">
  <autoFilter ref="AL30:GV54" xr:uid="{05025858-6DEB-4AD3-83FA-22415D168C4D}"/>
  <sortState xmlns:xlrd2="http://schemas.microsoft.com/office/spreadsheetml/2017/richdata2" ref="AL31:GV54">
    <sortCondition ref="AL30:AL54"/>
  </sortState>
  <tableColumns count="167">
    <tableColumn id="1" xr3:uid="{2961FA07-9A6B-4DBE-9437-991D6D32648A}" name="Column1" dataDxfId="309"/>
    <tableColumn id="3" xr3:uid="{F5F43257-E48F-4466-9444-8CCAFA5C5063}" name="Column3" dataDxfId="308"/>
    <tableColumn id="4" xr3:uid="{2214CE47-F650-45AC-AFA5-4ED7488E99BA}" name="Column4" dataDxfId="307"/>
    <tableColumn id="5" xr3:uid="{9A20D6F6-66D6-488E-8284-985269ECFBF7}" name="Column5" dataDxfId="306"/>
    <tableColumn id="6" xr3:uid="{453E96B1-EE4F-4255-8DE8-331D2B621544}" name="Column6" dataDxfId="305"/>
    <tableColumn id="7" xr3:uid="{1F3AACC3-7C24-4460-B3ED-2FA5554E0DE5}" name="Column7" dataDxfId="304"/>
    <tableColumn id="8" xr3:uid="{5AD89BDE-319E-45F1-B7F3-7233C850102A}" name="Column8" dataDxfId="303"/>
    <tableColumn id="9" xr3:uid="{CC7F8153-63E1-46F9-AF7A-CBA3AE0C2EFC}" name="Column9" dataDxfId="302"/>
    <tableColumn id="10" xr3:uid="{183B9EE8-AFE3-4A25-A38C-CAF212718AB6}" name="Column10" dataDxfId="301"/>
    <tableColumn id="11" xr3:uid="{A4CE0E99-1ED3-44B4-8E56-4A515E3D1680}" name="Column11" dataDxfId="300"/>
    <tableColumn id="12" xr3:uid="{05E0447A-A283-464F-A1F2-60C4B26EF856}" name="Column12" dataDxfId="299"/>
    <tableColumn id="13" xr3:uid="{AC39CBC6-D000-4B92-8147-89B364F29C82}" name="Column13" dataDxfId="298"/>
    <tableColumn id="14" xr3:uid="{2D199C6A-9BD7-47B8-A25F-3E4E05D5AD12}" name="Column14" dataDxfId="297"/>
    <tableColumn id="15" xr3:uid="{32896670-AC3C-4CC3-8494-D6E9FB10F976}" name="Column15" dataDxfId="296"/>
    <tableColumn id="16" xr3:uid="{9C6E6C81-28E2-4CF0-830D-E7225BA9DF1B}" name="Column16" dataDxfId="295"/>
    <tableColumn id="17" xr3:uid="{6CD4EB31-FB9D-4390-89E5-0F017C64737C}" name="Column17" dataDxfId="294"/>
    <tableColumn id="18" xr3:uid="{A3998689-1C2E-4B20-9D7D-472B904A03D5}" name="Column18" dataDxfId="293"/>
    <tableColumn id="19" xr3:uid="{6E918D1B-7A6A-4D4F-BF73-1D68A17A33E0}" name="Column19" dataDxfId="292"/>
    <tableColumn id="20" xr3:uid="{96871E25-C53F-4191-86E2-EF29134B753A}" name="Column20" dataDxfId="291"/>
    <tableColumn id="21" xr3:uid="{76DB519A-B4B0-41EA-801F-86861267A29C}" name="Column21" dataDxfId="290"/>
    <tableColumn id="22" xr3:uid="{40BA7188-470A-4DE5-AC76-32F62296C083}" name="Column22" dataDxfId="289"/>
    <tableColumn id="23" xr3:uid="{CA339161-6AAE-4EAB-96B2-B89594165121}" name="Column23" dataDxfId="288"/>
    <tableColumn id="24" xr3:uid="{12E6BA12-1AE7-4F73-8ECC-FA79CD288DD7}" name="Column24" dataDxfId="287"/>
    <tableColumn id="25" xr3:uid="{CDA0A0F8-A1D5-41A0-8177-C80C83880535}" name="Column25" dataDxfId="286"/>
    <tableColumn id="26" xr3:uid="{93DECB49-6C75-47D8-BA6D-E63695FFD03E}" name="Column26" dataDxfId="285"/>
    <tableColumn id="27" xr3:uid="{08BEFC6E-873F-477B-B211-BE4BEBF934F0}" name="Column27" dataDxfId="284"/>
    <tableColumn id="28" xr3:uid="{9667E6EF-743C-4D76-BD4C-609FAF5B6BC0}" name="Column28" dataDxfId="283"/>
    <tableColumn id="29" xr3:uid="{A90D553D-F1E6-493C-B58E-D7E1F83088DA}" name="Column29" dataDxfId="282"/>
    <tableColumn id="30" xr3:uid="{1EA593F6-E2B7-4974-8BBD-51A4E87390DC}" name="Column30" dataDxfId="281"/>
    <tableColumn id="31" xr3:uid="{6850BA18-195E-44D5-92E1-ACC3DCE2B4EC}" name="Column31" dataDxfId="280"/>
    <tableColumn id="32" xr3:uid="{45F1CE68-EB91-4FE8-A6F3-C6F54814B6F8}" name="Column32" dataDxfId="279"/>
    <tableColumn id="33" xr3:uid="{0F0B75B4-3B9E-4097-AC92-DE559DB9B222}" name="Column33" dataDxfId="278"/>
    <tableColumn id="34" xr3:uid="{98848638-89C4-4E63-A7C4-FD4A6A36D3C8}" name="Column34" dataDxfId="277"/>
    <tableColumn id="35" xr3:uid="{394FB3CC-1C42-43EF-9103-E704BEA454D2}" name="Column35" dataDxfId="276"/>
    <tableColumn id="36" xr3:uid="{F8A8C7A0-8847-4457-BB76-5FAA73E6F092}" name="Column36" dataDxfId="275"/>
    <tableColumn id="37" xr3:uid="{271A18C2-E855-46F3-86B0-1080B7AB651C}" name="Column37" dataDxfId="274"/>
    <tableColumn id="38" xr3:uid="{218FAB21-B30F-4CED-9A1C-6C9997C70265}" name="Column38" dataDxfId="273"/>
    <tableColumn id="39" xr3:uid="{AA1C4642-A64A-4BFB-8336-21A21BA9A8F4}" name="Column39" dataDxfId="272"/>
    <tableColumn id="40" xr3:uid="{0F1975D0-5EDC-4CBB-B143-6E1C1BB6AC06}" name="Column40" dataDxfId="271"/>
    <tableColumn id="41" xr3:uid="{939A379D-7ECE-41CF-A6B7-5EE90CC11B0E}" name="Column41" dataDxfId="270"/>
    <tableColumn id="42" xr3:uid="{82BA88F4-226D-41AD-834D-D9979BFC3717}" name="Column42" dataDxfId="269"/>
    <tableColumn id="43" xr3:uid="{CD2F805A-7B5B-455C-B3B0-32AB95FC7BF3}" name="Column43" dataDxfId="268"/>
    <tableColumn id="44" xr3:uid="{97FF779C-C52E-4E96-A2A3-7203799AA082}" name="Column44" dataDxfId="267"/>
    <tableColumn id="45" xr3:uid="{A3AD7DFB-B5F6-46DC-BF79-216E688CE791}" name="Column45" dataDxfId="266"/>
    <tableColumn id="46" xr3:uid="{AD39B90B-7205-4425-B823-9A09F89B2119}" name="Column46" dataDxfId="265"/>
    <tableColumn id="47" xr3:uid="{F15D52A5-1636-4131-98DA-60536DD6564F}" name="Column47" dataDxfId="264"/>
    <tableColumn id="48" xr3:uid="{66859E2F-690D-4BB9-B74F-F3A113B4117C}" name="Column48" dataDxfId="263"/>
    <tableColumn id="49" xr3:uid="{A3C5CAD1-136C-43D9-B4B5-6ECEA6E72964}" name="Column49" dataDxfId="262"/>
    <tableColumn id="50" xr3:uid="{810BE1CB-4CDB-4009-9371-197D71AE82AF}" name="Column50" dataDxfId="261"/>
    <tableColumn id="51" xr3:uid="{4EEA47E0-B18B-4A87-A74D-BFADFA2DF333}" name="Column51" dataDxfId="260"/>
    <tableColumn id="52" xr3:uid="{23E0618A-A94E-4D5E-9EB0-DB02C5390737}" name="Column52" dataDxfId="259"/>
    <tableColumn id="53" xr3:uid="{7C9E2490-22F0-4DFE-A6B4-DBABCF617CF9}" name="Column53" dataDxfId="258"/>
    <tableColumn id="54" xr3:uid="{F486AD7A-C231-417B-BE8D-A2B07270FA83}" name="Column54" dataDxfId="257"/>
    <tableColumn id="55" xr3:uid="{0F1F991D-C69F-485E-B519-7D25D5E23B12}" name="Column55" dataDxfId="256"/>
    <tableColumn id="56" xr3:uid="{0F8374D3-4E10-4FA5-B396-F685E8F65726}" name="Column56" dataDxfId="255"/>
    <tableColumn id="57" xr3:uid="{C59D8C32-A08B-4D5E-89CC-8FA78C5D3877}" name="Column57" dataDxfId="254"/>
    <tableColumn id="58" xr3:uid="{C94837B8-C174-481D-A71C-CA8253EC9F5D}" name="Column58" dataDxfId="253"/>
    <tableColumn id="59" xr3:uid="{A0B5C2E5-8C2F-45FE-ABB8-8423C42BDFA6}" name="Column59" dataDxfId="252"/>
    <tableColumn id="60" xr3:uid="{6401B967-9270-424A-93D6-079866020376}" name="Column60" dataDxfId="251"/>
    <tableColumn id="61" xr3:uid="{83F51675-F9DC-4618-A542-7265993CEE23}" name="Column61" dataDxfId="250"/>
    <tableColumn id="62" xr3:uid="{0CF636C8-D822-45C7-95EA-A2746E151628}" name="Column62" dataDxfId="249"/>
    <tableColumn id="63" xr3:uid="{13C94AAF-9DAA-40C6-8C58-2B9D1A785B7E}" name="Column63" dataDxfId="248"/>
    <tableColumn id="64" xr3:uid="{F1D2C5B5-C853-427B-9A78-163C10EFCAD6}" name="Column64" dataDxfId="247"/>
    <tableColumn id="65" xr3:uid="{9864DF11-6059-46F9-9F6D-FB1194BF30C6}" name="Column65" dataDxfId="246"/>
    <tableColumn id="66" xr3:uid="{026B25E2-DCC7-4846-A9A8-92DE86A2E677}" name="Column66" dataDxfId="245"/>
    <tableColumn id="67" xr3:uid="{620F207E-48C9-4115-BE35-910254AC0ADB}" name="Column67" dataDxfId="244"/>
    <tableColumn id="68" xr3:uid="{0F52CC32-5929-4FCF-9C24-3A6E93E79C81}" name="Column68" dataDxfId="243"/>
    <tableColumn id="69" xr3:uid="{07824D77-1AE2-454F-9EA9-0974BA9116A9}" name="Column69" dataDxfId="242"/>
    <tableColumn id="70" xr3:uid="{BA03E6C4-96F7-4877-9286-B700C9265253}" name="Column70" dataDxfId="241"/>
    <tableColumn id="71" xr3:uid="{E9F3615E-92BA-4133-A1D7-6671BE73CCFB}" name="Column71" dataDxfId="240"/>
    <tableColumn id="72" xr3:uid="{E854E101-7421-48FC-AA74-C45A66F01677}" name="Column72" dataDxfId="239"/>
    <tableColumn id="73" xr3:uid="{265B93D2-E6D5-4ED3-BE9D-C277198E2261}" name="Column73" dataDxfId="238"/>
    <tableColumn id="74" xr3:uid="{40FF4FBC-ABE1-4B67-A1D3-57FC6D08ADD9}" name="Column74" dataDxfId="237"/>
    <tableColumn id="75" xr3:uid="{BAEB6428-B8F9-4B8E-8FF4-0AEF16DE36A8}" name="Column75" dataDxfId="236"/>
    <tableColumn id="76" xr3:uid="{D63A74FC-0C86-4F70-9D02-DEBDCAB6BF7F}" name="Column76" dataDxfId="235"/>
    <tableColumn id="77" xr3:uid="{21BA1261-1FA3-460C-AD91-AF5DB35B3AB8}" name="Column77" dataDxfId="234"/>
    <tableColumn id="78" xr3:uid="{D5A8EFC1-4637-4EDF-AA30-93E0E238FD68}" name="Column78" dataDxfId="233"/>
    <tableColumn id="79" xr3:uid="{AA7F5CEE-4C22-4E5A-A146-21747D07F27D}" name="Column79" dataDxfId="232"/>
    <tableColumn id="80" xr3:uid="{55C5E678-5360-4527-AEEE-F8D806E43A1E}" name="Column80" dataDxfId="231"/>
    <tableColumn id="81" xr3:uid="{AB6875D8-7E84-4F31-8C78-D8CBCB1998DE}" name="Column81" dataDxfId="230"/>
    <tableColumn id="82" xr3:uid="{820A5162-B15A-40B3-B71A-E1684744B51F}" name="Column82" dataDxfId="229"/>
    <tableColumn id="83" xr3:uid="{CB719473-3D4A-411D-B595-E19A96C8672E}" name="Column83" dataDxfId="228"/>
    <tableColumn id="84" xr3:uid="{2FFCE348-2161-4A8E-9151-EEF9923A2D44}" name="Column84" dataDxfId="227"/>
    <tableColumn id="85" xr3:uid="{7C7C840C-D0F2-44A0-8151-4B638454D6D5}" name="Column85" dataDxfId="226"/>
    <tableColumn id="86" xr3:uid="{E1F171B1-A4CB-4C5F-B69C-6B3BE0A0AFBD}" name="Column86" dataDxfId="225"/>
    <tableColumn id="87" xr3:uid="{FFA19E07-D3D6-40D3-8F01-88F1B0FC325A}" name="Column87" dataDxfId="224"/>
    <tableColumn id="88" xr3:uid="{41AFA4A5-769D-4204-B36A-C57704771FE7}" name="Column88" dataDxfId="223"/>
    <tableColumn id="89" xr3:uid="{7FEB6C91-9A6B-45BA-8C21-1454A2CA9AC1}" name="Column89" dataDxfId="222"/>
    <tableColumn id="90" xr3:uid="{5493AE06-07F1-4649-9B82-FB41CCB77631}" name="Column90" dataDxfId="221"/>
    <tableColumn id="91" xr3:uid="{5E59769C-AA5E-4F10-902D-9F084C7C052B}" name="Column91" dataDxfId="220"/>
    <tableColumn id="92" xr3:uid="{1423E6EF-B6B9-4033-A192-50E9C41EB735}" name="Column92" dataDxfId="219"/>
    <tableColumn id="93" xr3:uid="{B5AC1AD5-70E1-4D9E-B102-865EAAB1DD1A}" name="Column93" dataDxfId="218"/>
    <tableColumn id="94" xr3:uid="{5118D807-B5E7-4CC9-85B9-82E5C51E6956}" name="Column94" dataDxfId="217"/>
    <tableColumn id="95" xr3:uid="{A058D5E6-D662-4275-BF2B-40CFB82D6FFE}" name="Column95" dataDxfId="216"/>
    <tableColumn id="96" xr3:uid="{9AE03A5C-DAD9-4119-974E-AED014356575}" name="Column96" dataDxfId="215"/>
    <tableColumn id="97" xr3:uid="{2030B7D2-92F3-4446-921A-68F0B170E653}" name="Column97" dataDxfId="214"/>
    <tableColumn id="98" xr3:uid="{2E942C4D-FCC7-4D7D-A65F-C51812A6FC7A}" name="Column98" dataDxfId="213"/>
    <tableColumn id="99" xr3:uid="{D78CE653-BF8C-4FED-9857-24740B4D30EA}" name="Column99" dataDxfId="212"/>
    <tableColumn id="100" xr3:uid="{A8623731-063F-4308-8D8A-5BF8E741BE12}" name="Column100" dataDxfId="211"/>
    <tableColumn id="101" xr3:uid="{A43F12D7-4A96-4E05-BFEF-8B00388E4F29}" name="Column101" dataDxfId="210"/>
    <tableColumn id="102" xr3:uid="{BFEEDAAF-4D56-4385-9D9F-ED48D2A5E350}" name="Column102" dataDxfId="209"/>
    <tableColumn id="103" xr3:uid="{D037FF57-C580-4A2F-AD53-61457001E9B9}" name="Column103" dataDxfId="208"/>
    <tableColumn id="104" xr3:uid="{9CAF3E0A-D8A9-4D08-BBB4-828D56FC5641}" name="Column104" dataDxfId="207"/>
    <tableColumn id="105" xr3:uid="{0D9F16F1-40AE-4178-9C96-292FFD1186B2}" name="Column105" dataDxfId="206"/>
    <tableColumn id="106" xr3:uid="{38326C94-0422-439A-8141-7325856E5908}" name="Column106" dataDxfId="205"/>
    <tableColumn id="107" xr3:uid="{DC9EA32C-8768-4C46-B32D-5BCADDDDB823}" name="Column107" dataDxfId="204"/>
    <tableColumn id="108" xr3:uid="{4DDD2AD0-3ADF-467C-828D-1F1517DE6ABF}" name="Column108" dataDxfId="203"/>
    <tableColumn id="109" xr3:uid="{E07E15B7-0F46-4FD9-B25A-CEB1A6606B13}" name="Column109" dataDxfId="202"/>
    <tableColumn id="110" xr3:uid="{46FD595B-3F9F-445F-B084-58659B919AC5}" name="Column110" dataDxfId="201"/>
    <tableColumn id="111" xr3:uid="{017346EB-3FBC-49B6-A745-EF2C6CCD2A72}" name="Column111" dataDxfId="200"/>
    <tableColumn id="112" xr3:uid="{09B4421C-DF6B-496B-A76E-C8E5AEE481CA}" name="Column112" dataDxfId="199"/>
    <tableColumn id="113" xr3:uid="{8F5647D8-8CC0-47C7-A0D5-2388D8A0383C}" name="Column113" dataDxfId="198"/>
    <tableColumn id="114" xr3:uid="{C9C6C4AE-3F4E-4B07-BD79-64A4A2F976E2}" name="Column114" dataDxfId="197"/>
    <tableColumn id="115" xr3:uid="{E513F6ED-4534-44D9-93F2-629D07516F82}" name="Column115" dataDxfId="196"/>
    <tableColumn id="116" xr3:uid="{B5A05BA5-EC23-47AC-8BCD-E58575DCE9B8}" name="Column116" dataDxfId="195"/>
    <tableColumn id="117" xr3:uid="{C5FFDA9B-9CA7-4AF6-96C2-DEEB5D6868B4}" name="Column117" dataDxfId="194"/>
    <tableColumn id="118" xr3:uid="{A8CB98E9-11A1-4D7E-9582-432AEF31B62E}" name="Column118" dataDxfId="193"/>
    <tableColumn id="119" xr3:uid="{6F9F372B-F0F8-4B52-9515-B306C4153D62}" name="Column119" dataDxfId="192"/>
    <tableColumn id="120" xr3:uid="{DD324F15-87BB-407A-9E58-E4B4A84D7F12}" name="Column120" dataDxfId="191"/>
    <tableColumn id="121" xr3:uid="{6874DA82-4B4B-431C-B9EF-FFC2E3B92C1D}" name="Column121" dataDxfId="190"/>
    <tableColumn id="122" xr3:uid="{4DD41F21-798D-47F0-AA87-362B39171D07}" name="Column122" dataDxfId="189"/>
    <tableColumn id="123" xr3:uid="{F66DDCA8-5036-4BD1-AC1A-4280DD1C86C4}" name="Column123" dataDxfId="188"/>
    <tableColumn id="124" xr3:uid="{4C81E465-895F-4624-9332-F91CC3685DA0}" name="Column124" dataDxfId="187"/>
    <tableColumn id="125" xr3:uid="{D5FC2EC6-9C1E-4E88-A4EA-359A58630C0F}" name="Column125" dataDxfId="186"/>
    <tableColumn id="126" xr3:uid="{6D8DC75A-C008-4268-AD9D-33E9CC28145C}" name="Column126" dataDxfId="185"/>
    <tableColumn id="127" xr3:uid="{DAD84C28-9576-4202-B8AD-87A6F7CAA673}" name="Column127" dataDxfId="184"/>
    <tableColumn id="128" xr3:uid="{B3F272D2-5D57-4C94-97FA-32070C974438}" name="Column128" dataDxfId="183"/>
    <tableColumn id="129" xr3:uid="{2650216F-8F73-431F-961E-E2D7EF0BE82E}" name="Column129" dataDxfId="182"/>
    <tableColumn id="130" xr3:uid="{8D9E7EE4-61F1-4F9A-854A-3AC7E7B5C9B9}" name="Column130" dataDxfId="181"/>
    <tableColumn id="131" xr3:uid="{FCD2E454-147C-4FA1-A6BD-495605353289}" name="Column131" dataDxfId="180"/>
    <tableColumn id="132" xr3:uid="{659C88E2-4BB9-4883-98BF-95CFCEEBF9A9}" name="Column132" dataDxfId="179"/>
    <tableColumn id="133" xr3:uid="{F6493CBE-7956-45A0-A5D0-CBA13EF1484F}" name="Column133" dataDxfId="178"/>
    <tableColumn id="134" xr3:uid="{4CF721AD-4A74-424A-8843-D30A69F55721}" name="Column134" dataDxfId="177"/>
    <tableColumn id="135" xr3:uid="{C141C2CF-0FE3-488C-9AEE-977423B3B551}" name="Column135" dataDxfId="176"/>
    <tableColumn id="136" xr3:uid="{2F0AFD80-15CC-4008-85F8-831FE8FF5862}" name="Column136" dataDxfId="175"/>
    <tableColumn id="137" xr3:uid="{E8E1B4ED-ED0E-4A62-8F4A-FE909A806603}" name="Column137" dataDxfId="174"/>
    <tableColumn id="138" xr3:uid="{42A7BBC3-3987-4B77-94AC-84728784EB5C}" name="Column138" dataDxfId="173"/>
    <tableColumn id="139" xr3:uid="{3916D019-DF28-4E99-954A-110CA0BC4063}" name="Column139" dataDxfId="172"/>
    <tableColumn id="140" xr3:uid="{C431A29A-D6F7-4A6F-ADC8-BF22E398D3D6}" name="Column140" dataDxfId="171"/>
    <tableColumn id="141" xr3:uid="{190A0D7C-0D27-4F13-9142-DC90F6665D73}" name="Column141" dataDxfId="170"/>
    <tableColumn id="142" xr3:uid="{19C44590-0DDA-404F-BDBA-7E0E8517BDB8}" name="Column142" dataDxfId="169"/>
    <tableColumn id="143" xr3:uid="{03BE200B-6CCA-4AD3-9CD3-38C207599FA9}" name="Column143" dataDxfId="168"/>
    <tableColumn id="144" xr3:uid="{ADAC6485-835C-4EF5-A333-185D10EAF7BE}" name="Column144" dataDxfId="167"/>
    <tableColumn id="145" xr3:uid="{A136518E-E393-4DD8-9380-0A29F5B0C70F}" name="Column145" dataDxfId="166"/>
    <tableColumn id="146" xr3:uid="{9730B144-A285-4BB2-B330-8355C0760C65}" name="Column146" dataDxfId="165"/>
    <tableColumn id="147" xr3:uid="{79F2C053-4882-43FB-A6D1-64C9C1781657}" name="Column147" dataDxfId="164"/>
    <tableColumn id="148" xr3:uid="{E2CAA327-EF78-45BA-80B2-AA8B7425991E}" name="Column148" dataDxfId="163"/>
    <tableColumn id="149" xr3:uid="{B35E601D-3F27-4EE0-997F-9C94F7CD3B5A}" name="Column149" dataDxfId="162"/>
    <tableColumn id="150" xr3:uid="{536578DE-7514-485A-90F3-9CA0501FEA95}" name="Column150" dataDxfId="161"/>
    <tableColumn id="151" xr3:uid="{EC536285-9CB8-44C3-8761-B817B7A7F7DF}" name="Column151" dataDxfId="160"/>
    <tableColumn id="152" xr3:uid="{89B62C88-39A4-4051-B942-BF927359CFDE}" name="Column152" dataDxfId="159"/>
    <tableColumn id="153" xr3:uid="{AAA09F5A-5949-44C5-80C8-3AC7C104100F}" name="Column153" dataDxfId="158"/>
    <tableColumn id="154" xr3:uid="{D44D323C-51C2-4F02-9461-05E8D7506876}" name="Column154" dataDxfId="157"/>
    <tableColumn id="155" xr3:uid="{67B19EB9-0231-4209-9377-BE3EFA4C39B6}" name="Column155" dataDxfId="156"/>
    <tableColumn id="156" xr3:uid="{3EDD45F3-5987-45A8-BD65-8D0B31CEE7A2}" name="Column156" dataDxfId="155"/>
    <tableColumn id="157" xr3:uid="{E9C824C6-2AEA-4A11-AE32-E1131D12C514}" name="Column157" dataDxfId="154"/>
    <tableColumn id="158" xr3:uid="{E172111B-7F42-40A1-9F85-5891B9F73FF0}" name="Column158" dataDxfId="153"/>
    <tableColumn id="159" xr3:uid="{6905ED76-0030-49CA-8C16-CD4944BC380C}" name="Column159" dataDxfId="152"/>
    <tableColumn id="160" xr3:uid="{3F3A5827-C8D6-4686-BC11-0CBBF0C6FD67}" name="Column160" dataDxfId="151"/>
    <tableColumn id="161" xr3:uid="{5D7E1CFD-E297-4840-8F27-D447BEAEE39A}" name="Column161" dataDxfId="150"/>
    <tableColumn id="162" xr3:uid="{18ACE7AA-CE24-4F43-B7EA-63E28C9A33F4}" name="Column162" dataDxfId="149"/>
    <tableColumn id="163" xr3:uid="{48E8969B-37A1-450C-850A-412578EF4796}" name="Column163" dataDxfId="148"/>
    <tableColumn id="164" xr3:uid="{5654BF8F-807B-4001-B263-401CA628CB17}" name="Column164" dataDxfId="147"/>
    <tableColumn id="165" xr3:uid="{E79AC17B-5CF0-4D15-BB08-DBEE7117E160}" name="Column165" dataDxfId="146"/>
    <tableColumn id="166" xr3:uid="{142F38EE-F7A3-4F8D-9C4E-52B0B9347307}" name="Column166" dataDxfId="145"/>
    <tableColumn id="167" xr3:uid="{A231D918-1BD0-4240-BBC9-7DB0C38190E2}" name="Column167" dataDxfId="144"/>
    <tableColumn id="168" xr3:uid="{43448EA5-A3CD-4D62-B1BB-BF241196B516}" name="Column168" dataDxfId="143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7BD8660-3187-4088-A890-D4E71B091190}" name="Table14" displayName="Table14" ref="G3:O30" totalsRowShown="0" dataDxfId="142">
  <autoFilter ref="G3:O30" xr:uid="{37BD8660-3187-4088-A890-D4E71B091190}"/>
  <sortState xmlns:xlrd2="http://schemas.microsoft.com/office/spreadsheetml/2017/richdata2" ref="G4:O30">
    <sortCondition ref="G3:G30"/>
  </sortState>
  <tableColumns count="9">
    <tableColumn id="1" xr3:uid="{2013ABA5-E829-4E72-AE07-10CEE3919D89}" name="Exp" dataDxfId="141"/>
    <tableColumn id="2" xr3:uid="{E8B981AA-54D8-4523-8821-472D10EF4889}" name="Condition" dataDxfId="140"/>
    <tableColumn id="3" xr3:uid="{3FB4CB11-1789-4249-AA31-6EBD79D90466}" name="PC" dataDxfId="139"/>
    <tableColumn id="4" xr3:uid="{7134E042-16B8-48ED-9873-DF835EDC5AC1}" name="N_full" dataDxfId="138"/>
    <tableColumn id="5" xr3:uid="{986166AB-8864-4D60-B080-92C150EA1F25}" name="R²_full" dataDxfId="137"/>
    <tableColumn id="6" xr3:uid="{843AC9DB-717C-435C-831C-3AC720900771}" name="R²_dedup" dataDxfId="136"/>
    <tableColumn id="7" xr3:uid="{B86BD495-C8E6-42D7-A80D-4755F336E08D}" name="ΔR²" dataDxfId="135"/>
    <tableColumn id="8" xr3:uid="{68510143-8DE4-49F2-944B-D27DEF929109}" name="Bias" dataDxfId="134"/>
    <tableColumn id="9" xr3:uid="{A6781FD7-FAF8-4C2D-911D-1F9502D023FE}" name="Column1" dataDxfId="133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1A70491-44A7-4181-B748-95C68D60FA97}" name="Table15" displayName="Table15" ref="P3:X30" totalsRowShown="0">
  <autoFilter ref="P3:X30" xr:uid="{F1A70491-44A7-4181-B748-95C68D60FA97}"/>
  <sortState xmlns:xlrd2="http://schemas.microsoft.com/office/spreadsheetml/2017/richdata2" ref="P4:X30">
    <sortCondition ref="P3:P30"/>
  </sortState>
  <tableColumns count="9">
    <tableColumn id="1" xr3:uid="{139C2010-3362-4B75-8812-BD746B6D9BF1}" name="Column1" dataDxfId="132"/>
    <tableColumn id="2" xr3:uid="{55274C19-A1F8-454B-80D4-05BEF777AC9F}" name="Column2" dataDxfId="131"/>
    <tableColumn id="3" xr3:uid="{7397DCB8-5C9C-4CD9-9660-7DBD3F1D63F0}" name="Column3" dataDxfId="130"/>
    <tableColumn id="4" xr3:uid="{AC2A6AEB-F12F-4C28-B7A8-AA1A22710C53}" name="Column4" dataDxfId="129"/>
    <tableColumn id="5" xr3:uid="{43C623EB-68E3-408B-85B6-7785A4DB2466}" name="Column5" dataDxfId="128"/>
    <tableColumn id="6" xr3:uid="{2658ED69-D687-4A75-BBFB-72CF80C8FFEB}" name="Column6" dataDxfId="127"/>
    <tableColumn id="7" xr3:uid="{A2CB9EAE-ED20-420B-BE8A-C79A07AF44FD}" name="Column7"/>
    <tableColumn id="8" xr3:uid="{2CCC1599-DEE8-4E80-9812-80E353E14AD0}" name="Column8"/>
    <tableColumn id="9" xr3:uid="{8DAC1F6A-C008-4607-8C04-3BA55AAD6E70}" name="Column9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B639984-DC6F-4D10-8D5D-D39FEABCC3B2}" name="Table16" displayName="Table16" ref="Y3:AG30" totalsRowShown="0" headerRowDxfId="126" dataDxfId="125">
  <autoFilter ref="Y3:AG30" xr:uid="{9B639984-DC6F-4D10-8D5D-D39FEABCC3B2}"/>
  <sortState xmlns:xlrd2="http://schemas.microsoft.com/office/spreadsheetml/2017/richdata2" ref="Y4:AG30">
    <sortCondition ref="Y3:Y30"/>
  </sortState>
  <tableColumns count="9">
    <tableColumn id="1" xr3:uid="{F422689C-BA39-4550-B302-212143947C6C}" name="Column1" dataDxfId="124"/>
    <tableColumn id="2" xr3:uid="{89C62010-AC92-404F-BF68-29EF9493D2F8}" name="Column2" dataDxfId="123"/>
    <tableColumn id="3" xr3:uid="{B262C0CC-D35C-4B88-BE79-60C73A0FA9FC}" name="Column3" dataDxfId="122"/>
    <tableColumn id="4" xr3:uid="{46C1BB30-6373-4CC1-92A4-2FF519934934}" name="Column4" dataDxfId="121"/>
    <tableColumn id="5" xr3:uid="{987F266C-819D-4577-96C9-B69397413716}" name="Column5" dataDxfId="120"/>
    <tableColumn id="6" xr3:uid="{8D7832AF-3D9B-4475-98AC-15409B0F2603}" name="Column6" dataDxfId="119"/>
    <tableColumn id="7" xr3:uid="{8E5A0496-CDD5-46E7-AB76-37933BA6FFCD}" name="Column7" dataDxfId="118"/>
    <tableColumn id="8" xr3:uid="{FE9F6063-8AC5-4D8A-9B5E-8DF7D1ABB46C}" name="Column8" dataDxfId="117"/>
    <tableColumn id="9" xr3:uid="{01CD6D66-8A2B-4B44-A1A1-FC6A9EA8580C}" name="Column9" dataDxfId="116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1C4DE2B-CAD2-486B-829D-F53323A9F517}" name="Table21" displayName="Table21" ref="AH3:AP30" totalsRowShown="0">
  <autoFilter ref="AH3:AP30" xr:uid="{81C4DE2B-CAD2-486B-829D-F53323A9F517}"/>
  <sortState xmlns:xlrd2="http://schemas.microsoft.com/office/spreadsheetml/2017/richdata2" ref="AH4:AP30">
    <sortCondition ref="AH3:AH30"/>
  </sortState>
  <tableColumns count="9">
    <tableColumn id="1" xr3:uid="{9D2DA27A-FC44-4130-9A79-5A7D142E2F70}" name="Column1" dataDxfId="115"/>
    <tableColumn id="2" xr3:uid="{1911DE79-4197-4774-A97A-22828DAB428A}" name="Column2" dataDxfId="114"/>
    <tableColumn id="3" xr3:uid="{F08F214B-82C8-43F9-B3DD-6BB048EF8EF4}" name="Column3" dataDxfId="113"/>
    <tableColumn id="4" xr3:uid="{6371DFB0-7C7B-4E3F-AFCE-6D6BC8969974}" name="Column4" dataDxfId="112"/>
    <tableColumn id="5" xr3:uid="{5E5548BF-6F1A-44ED-9B3C-5900694C21A2}" name="Column5" dataDxfId="111"/>
    <tableColumn id="6" xr3:uid="{799D29A4-403E-4A96-AF1A-252E2C6EFB9A}" name="Column6" dataDxfId="110"/>
    <tableColumn id="7" xr3:uid="{1D43E8A3-CA91-47ED-8DDE-447B8800CCC6}" name="Column7"/>
    <tableColumn id="8" xr3:uid="{334428A5-7C70-49FD-8BC3-F3D61B8EDBD9}" name="Column8"/>
    <tableColumn id="9" xr3:uid="{590628ED-425E-402C-9211-E34590F6C1FD}" name="Column9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4EE7D09-9618-4BC2-A6B4-7BB38B871480}" name="Table22" displayName="Table22" ref="G34:O61" totalsRowShown="0" dataDxfId="109">
  <autoFilter ref="G34:O61" xr:uid="{B4EE7D09-9618-4BC2-A6B4-7BB38B871480}"/>
  <sortState xmlns:xlrd2="http://schemas.microsoft.com/office/spreadsheetml/2017/richdata2" ref="G35:O61">
    <sortCondition ref="G34:G61"/>
  </sortState>
  <tableColumns count="9">
    <tableColumn id="1" xr3:uid="{A7E10A13-8ECA-4EC5-89B6-B932F44447C6}" name="Column1" dataDxfId="108"/>
    <tableColumn id="2" xr3:uid="{A2905E55-1DB4-416E-B0EB-96E7EFA868FF}" name="Column2" dataDxfId="107"/>
    <tableColumn id="3" xr3:uid="{C8E7CC0A-EFC1-484F-86F4-D2112479AB70}" name="Column3" dataDxfId="106"/>
    <tableColumn id="4" xr3:uid="{EDB18BC9-FAA9-40EC-A0D4-8704D1B776E8}" name="Column4" dataDxfId="105"/>
    <tableColumn id="5" xr3:uid="{5B638D89-1CCF-4D78-ABE8-4E14309795F5}" name="Column5" dataDxfId="104"/>
    <tableColumn id="6" xr3:uid="{93324C87-C27D-41AC-BD60-B1F98F420E6F}" name="Column6" dataDxfId="103"/>
    <tableColumn id="7" xr3:uid="{63FB11D3-62DB-4B6F-B589-82F4D8027AC0}" name="Column7" dataDxfId="102"/>
    <tableColumn id="8" xr3:uid="{BEDED4E8-974B-4F08-B5BB-B86CE92AAB67}" name="Column8" dataDxfId="101"/>
    <tableColumn id="9" xr3:uid="{FA131924-CC8E-46EF-B209-1DFE2526A275}" name="Column9" dataDxfId="100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FFEF261-9F4E-4011-9219-41452543DAAE}" name="Table24" displayName="Table24" ref="P34:X61" totalsRowShown="0" headerRowDxfId="99" dataDxfId="98">
  <autoFilter ref="P34:X61" xr:uid="{5FFEF261-9F4E-4011-9219-41452543DAAE}"/>
  <sortState xmlns:xlrd2="http://schemas.microsoft.com/office/spreadsheetml/2017/richdata2" ref="P35:X61">
    <sortCondition ref="P34:P61"/>
  </sortState>
  <tableColumns count="9">
    <tableColumn id="1" xr3:uid="{47100B7B-AB83-4C8B-B998-A09656A497C7}" name="Column1" dataDxfId="97"/>
    <tableColumn id="2" xr3:uid="{154B60A7-B0A9-43C0-882B-94E169F78453}" name="Column2" dataDxfId="96"/>
    <tableColumn id="3" xr3:uid="{3F9C86ED-9F55-4A1B-B0C9-D23F6730A55C}" name="Column3" dataDxfId="95"/>
    <tableColumn id="4" xr3:uid="{9D855CE6-7B24-4645-8C3B-0FEA3ACC09E8}" name="Column4" dataDxfId="94"/>
    <tableColumn id="5" xr3:uid="{44B58EA9-E0EF-4D6F-88F3-56B497431409}" name="Column5" dataDxfId="93"/>
    <tableColumn id="6" xr3:uid="{591B0320-7B75-4E55-BCE4-8F8AF48D6597}" name="Column6" dataDxfId="92"/>
    <tableColumn id="7" xr3:uid="{4BA2D181-02B9-4FE3-A618-BDE80314258A}" name="Column7" dataDxfId="91"/>
    <tableColumn id="8" xr3:uid="{55F131DB-DD4C-4CDB-82A7-C20C6B2E9A2D}" name="Column8" dataDxfId="90"/>
    <tableColumn id="9" xr3:uid="{9A2AAF7C-937C-4406-9EF4-A7161E3435DE}" name="Column9" dataDxfId="89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4D35D97-9C7C-47BF-B136-CD4909EADE82}" name="Table25" displayName="Table25" ref="Y34:AG61" totalsRowShown="0" dataDxfId="88">
  <autoFilter ref="Y34:AG61" xr:uid="{74D35D97-9C7C-47BF-B136-CD4909EADE82}"/>
  <sortState xmlns:xlrd2="http://schemas.microsoft.com/office/spreadsheetml/2017/richdata2" ref="Y35:AG61">
    <sortCondition ref="Y34:Y61"/>
  </sortState>
  <tableColumns count="9">
    <tableColumn id="1" xr3:uid="{489D3B4A-9579-4296-A2DA-8B5EC583B63F}" name="Column1" dataDxfId="87"/>
    <tableColumn id="2" xr3:uid="{093DEB4C-EAAF-4D66-AE8B-5E74E1111970}" name="Column2" dataDxfId="86"/>
    <tableColumn id="3" xr3:uid="{9F9971E1-A209-4586-8F3B-69EA6FB2DF7A}" name="Column3" dataDxfId="85"/>
    <tableColumn id="4" xr3:uid="{D21D0A8B-81B2-4CCA-9DE1-44DE519625C1}" name="Column4" dataDxfId="84"/>
    <tableColumn id="5" xr3:uid="{C6F31EDD-2F4D-46C9-9990-CB34CD582996}" name="Column5" dataDxfId="83"/>
    <tableColumn id="6" xr3:uid="{4CB6433E-B14A-499B-9372-70C03972CD54}" name="Column6" dataDxfId="82"/>
    <tableColumn id="7" xr3:uid="{35922371-0665-4534-95D4-1EFDEBA749D2}" name="Column7" dataDxfId="81"/>
    <tableColumn id="8" xr3:uid="{AA5A0266-DB0D-4E7C-A7B0-6C9B54C1A22C}" name="Column8" dataDxfId="80"/>
    <tableColumn id="9" xr3:uid="{5DB9AC94-07D5-466D-877E-EA9AB2EC1708}" name="Column9" dataDxfId="79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4C713B0-2667-4520-9512-0193A3DA67D7}" name="Table26" displayName="Table26" ref="AH34:AP61" totalsRowShown="0" headerRowDxfId="78" dataDxfId="77">
  <autoFilter ref="AH34:AP61" xr:uid="{F4C713B0-2667-4520-9512-0193A3DA67D7}"/>
  <sortState xmlns:xlrd2="http://schemas.microsoft.com/office/spreadsheetml/2017/richdata2" ref="AH35:AP61">
    <sortCondition ref="AH34:AH61"/>
  </sortState>
  <tableColumns count="9">
    <tableColumn id="1" xr3:uid="{BA8F8D33-E8E1-4B53-AC8F-B623C0751F89}" name="Column1" dataDxfId="76"/>
    <tableColumn id="2" xr3:uid="{603189BA-CE31-42A9-84FF-92003190AB01}" name="Column2" dataDxfId="75"/>
    <tableColumn id="3" xr3:uid="{304BB03D-C75B-4B6E-B4E7-E1B6C1220BE7}" name="Column3" dataDxfId="74"/>
    <tableColumn id="4" xr3:uid="{C77AC015-0897-4436-AF0D-2CC822D1984D}" name="Column4" dataDxfId="73"/>
    <tableColumn id="5" xr3:uid="{443859C5-1F23-4FD0-B507-3FE804EDC732}" name="Column5" dataDxfId="72"/>
    <tableColumn id="6" xr3:uid="{AD80EF48-7A8E-4B82-B123-501034928DDB}" name="Column6" dataDxfId="71"/>
    <tableColumn id="7" xr3:uid="{31DDEFFF-500F-4AF9-B8A0-C89321903FD1}" name="Column7" dataDxfId="70"/>
    <tableColumn id="8" xr3:uid="{387D74A1-DE8D-4123-86A3-6A3F99C0054F}" name="Column8" dataDxfId="69"/>
    <tableColumn id="9" xr3:uid="{0B2EC72E-452B-432C-B53F-82CAA6185B4C}" name="Column9" dataDxfId="68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5EA59D1-6FDD-405A-B6A5-6CAC867938B2}" name="Table27" displayName="Table27" ref="AQ34:AY61" totalsRowShown="0" headerRowDxfId="67" dataDxfId="66">
  <autoFilter ref="AQ34:AY61" xr:uid="{75EA59D1-6FDD-405A-B6A5-6CAC867938B2}"/>
  <sortState xmlns:xlrd2="http://schemas.microsoft.com/office/spreadsheetml/2017/richdata2" ref="AQ35:AY61">
    <sortCondition ref="AQ34:AQ61"/>
  </sortState>
  <tableColumns count="9">
    <tableColumn id="1" xr3:uid="{D925674D-2180-4F6E-A977-1F8A0A2A7D5B}" name="Column1" dataDxfId="65"/>
    <tableColumn id="2" xr3:uid="{D9FA438C-B8AE-47ED-8ECA-184B40466012}" name="Column2" dataDxfId="64"/>
    <tableColumn id="3" xr3:uid="{551A51C2-C74E-4867-9AB1-20458658E77B}" name="Column3" dataDxfId="63"/>
    <tableColumn id="4" xr3:uid="{71AFCEF3-F1A3-4E4F-975E-6E48FE8B084C}" name="Column4" dataDxfId="62"/>
    <tableColumn id="5" xr3:uid="{6CA31AA3-C4DC-4E1D-AA2C-052EF04C969F}" name="Column5" dataDxfId="61"/>
    <tableColumn id="6" xr3:uid="{4400D826-0CCD-4954-9C75-DBBD3B6C21D9}" name="Column6" dataDxfId="60"/>
    <tableColumn id="7" xr3:uid="{3B7C9012-A390-49AE-8C76-71E2EADCFFAF}" name="Column7" dataDxfId="59"/>
    <tableColumn id="8" xr3:uid="{E505D6FA-790E-4784-BD08-421855FA6A88}" name="Column8" dataDxfId="58"/>
    <tableColumn id="9" xr3:uid="{3506FD5C-2947-440C-B689-E7606D89DF1B}" name="Column9" dataDxfId="57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B163E2E-DD59-4EB8-940D-5471EF8A0B6A}" name="Table28" displayName="Table28" ref="G65:O92" totalsRowShown="0" headerRowDxfId="56" dataDxfId="55">
  <autoFilter ref="G65:O92" xr:uid="{8B163E2E-DD59-4EB8-940D-5471EF8A0B6A}"/>
  <sortState xmlns:xlrd2="http://schemas.microsoft.com/office/spreadsheetml/2017/richdata2" ref="G66:O92">
    <sortCondition ref="G65:G92"/>
  </sortState>
  <tableColumns count="9">
    <tableColumn id="1" xr3:uid="{3803752D-F673-4B8F-965D-E02B7C0E4C09}" name="Column1" dataDxfId="54"/>
    <tableColumn id="2" xr3:uid="{4D01DB1A-0FF5-4BF1-868D-E97A3EA29A0D}" name="Column2" dataDxfId="53"/>
    <tableColumn id="3" xr3:uid="{CF395054-2601-4716-B012-D87C661E4F02}" name="Column3" dataDxfId="52"/>
    <tableColumn id="4" xr3:uid="{C290D32B-82A7-4947-9A12-48DD85521CAC}" name="Column4" dataDxfId="51"/>
    <tableColumn id="5" xr3:uid="{D9489017-A1F1-404D-B0C9-D356C0781357}" name="Column5" dataDxfId="50"/>
    <tableColumn id="6" xr3:uid="{9AF68192-0160-4795-9D0C-AC1FFB452FAB}" name="Column6" dataDxfId="49"/>
    <tableColumn id="7" xr3:uid="{18207011-6F72-49C1-B4D0-3865429069BA}" name="Column7" dataDxfId="48"/>
    <tableColumn id="8" xr3:uid="{279D0B75-3A3B-49A4-B040-091DF1ED0DA4}" name="Column8" dataDxfId="47"/>
    <tableColumn id="9" xr3:uid="{4B086E22-32B5-47FE-A66C-616C1770A901}" name="Column9" dataDxfId="46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936BAEF-BFCE-4039-8A72-406EA0B97BF5}" name="Table33" displayName="Table33" ref="F9:N36" totalsRowShown="0" headerRowDxfId="45" dataDxfId="44">
  <autoFilter ref="F9:N36" xr:uid="{3936BAEF-BFCE-4039-8A72-406EA0B97BF5}"/>
  <sortState xmlns:xlrd2="http://schemas.microsoft.com/office/spreadsheetml/2017/richdata2" ref="F10:N36">
    <sortCondition ref="F9:F36"/>
  </sortState>
  <tableColumns count="9">
    <tableColumn id="1" xr3:uid="{E0A8D7E6-BD19-477E-BE16-0082B56163D8}" name="Experiment" dataDxfId="43"/>
    <tableColumn id="2" xr3:uid="{E39B386A-AD80-457E-8612-B80EBE859C5F}" name="Condition" dataDxfId="42"/>
    <tableColumn id="3" xr3:uid="{B9D9A5AE-B09A-48A2-9875-944B53B3FE28}" name="alpha" dataDxfId="41"/>
    <tableColumn id="4" xr3:uid="{4169B476-8266-4464-8615-EB5076431EC9}" name="n_components " dataDxfId="40"/>
    <tableColumn id="5" xr3:uid="{AC61D65C-9487-4B7C-8A73-FA1860FEC537}" name="var_thresh" dataDxfId="39"/>
    <tableColumn id="12" xr3:uid="{2E445BB8-61A3-4388-BD7A-52C12F2399B1}" name="corr_thresh" dataDxfId="38"/>
    <tableColumn id="11" xr3:uid="{AC4FBD51-EE94-4FE0-B219-2BE4F29A130F}" name="n_features" dataDxfId="37"/>
    <tableColumn id="6" xr3:uid="{664C6B09-8522-45C1-8746-238744F02A7F}" name="full r^2" dataDxfId="36"/>
    <tableColumn id="7" xr3:uid="{6D2ED30A-F326-4405-8F01-62F16B99238C}" name="dedupe r^2" dataDxfId="35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CD0CDDA-8060-41A1-BFC6-F8F9CADB10F2}" name="Table34" displayName="Table34" ref="A69:S96" totalsRowShown="0" headerRowDxfId="34" dataDxfId="32" headerRowBorderDxfId="33" tableBorderDxfId="31">
  <autoFilter ref="A69:S96" xr:uid="{9CD0CDDA-8060-41A1-BFC6-F8F9CADB10F2}"/>
  <sortState xmlns:xlrd2="http://schemas.microsoft.com/office/spreadsheetml/2017/richdata2" ref="A70:S96">
    <sortCondition descending="1" ref="L69:L96"/>
  </sortState>
  <tableColumns count="19">
    <tableColumn id="1" xr3:uid="{D9617087-5952-45C4-9980-12B06F250FC8}" name="experiment" dataDxfId="30"/>
    <tableColumn id="2" xr3:uid="{F63D811E-41E3-47ED-82F9-2553F1C30B9A}" name="experiment_name" dataDxfId="29"/>
    <tableColumn id="3" xr3:uid="{01BFEDC6-E681-4B40-8AA1-E5933AEB7F3D}" name="condition" dataDxfId="28"/>
    <tableColumn id="4" xr3:uid="{4473D50B-28CF-4888-B4AD-FA29ABC7C112}" name="condition_idx" dataDxfId="27"/>
    <tableColumn id="5" xr3:uid="{1D39CFDC-041D-43B4-8693-0E4383903525}" name="n_components" dataDxfId="26"/>
    <tableColumn id="6" xr3:uid="{6CDB7F3C-5EDC-4F97-ACC2-A888CB0B9919}" name="alpha" dataDxfId="25"/>
    <tableColumn id="7" xr3:uid="{DD4EF7EF-263E-468F-ADE3-746860123087}" name="var_thresh" dataDxfId="24"/>
    <tableColumn id="8" xr3:uid="{FA6E054C-92E8-47CC-92C3-29D91C4B008B}" name="corr_thresh" dataDxfId="23"/>
    <tableColumn id="9" xr3:uid="{25DA18DC-E725-4952-A5FB-717CC87DACC6}" name="n_full" dataDxfId="22"/>
    <tableColumn id="10" xr3:uid="{029D912B-BCE3-4437-920F-4B54D693F176}" name="n_dedup" dataDxfId="21"/>
    <tableColumn id="11" xr3:uid="{036866BC-C395-4A04-85BC-6803DEDBE66C}" name="n_features" dataDxfId="20"/>
    <tableColumn id="12" xr3:uid="{D6939A19-9FC4-4A62-8086-962D9DC54C38}" name="r2_full" dataDxfId="19"/>
    <tableColumn id="13" xr3:uid="{E3D3B53A-01CF-41FE-967A-3B7EC91D508A}" name="r2_dedup" dataDxfId="18"/>
    <tableColumn id="14" xr3:uid="{9CC7AEF5-A90C-4561-86DE-FB7BA33BB614}" name="mae_full" dataDxfId="17"/>
    <tableColumn id="15" xr3:uid="{A074558E-5519-4B73-9CEC-39AF93DEE4BA}" name="mae_dedup" dataDxfId="16"/>
    <tableColumn id="16" xr3:uid="{D8222317-7B9D-46EF-A8F1-3CA2A9F32A76}" name="std_r2_full" dataDxfId="15"/>
    <tableColumn id="17" xr3:uid="{BAB18FA0-CCFF-464D-81EF-BF6E9B3C8588}" name="std_r2_dedup" dataDxfId="14"/>
    <tableColumn id="18" xr3:uid="{1B74E0EE-ED1F-45E1-9E09-E7EB3C11974F}" name="delta_r2" dataDxfId="13"/>
    <tableColumn id="19" xr3:uid="{2CDE0A6D-ADFB-4C31-B6BC-65BC7A7F6465}" name="n_seeds" dataDxfId="12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3F39070-1754-46A1-8AEA-5756EDF55E69}" name="Table36" displayName="Table36" ref="AB100:AK118" totalsRowShown="0" headerRowDxfId="11" dataDxfId="10">
  <autoFilter ref="AB100:AK118" xr:uid="{E3F39070-1754-46A1-8AEA-5756EDF55E69}"/>
  <sortState xmlns:xlrd2="http://schemas.microsoft.com/office/spreadsheetml/2017/richdata2" ref="AB101:AK118">
    <sortCondition ref="AB100:AB118"/>
  </sortState>
  <tableColumns count="10">
    <tableColumn id="1" xr3:uid="{930AB292-A828-4249-8DAB-1E15F126708F}" name="Column1" dataDxfId="9"/>
    <tableColumn id="2" xr3:uid="{73F99F55-1A0A-4D75-B9D6-0A782D0EF812}" name="Column2" dataDxfId="8"/>
    <tableColumn id="3" xr3:uid="{5F919248-3FFC-4FB2-9D02-3853B698A565}" name="Column3" dataDxfId="7"/>
    <tableColumn id="4" xr3:uid="{17D5502E-3B00-4450-924B-4A00F827B91D}" name="Column4" dataDxfId="6"/>
    <tableColumn id="5" xr3:uid="{41BB3CD7-FA6C-4F13-AA2B-571840A73BE8}" name="Column5" dataDxfId="5"/>
    <tableColumn id="6" xr3:uid="{02ABA51A-5D6C-43CF-9F2E-77CF59B4EF7D}" name="Column6" dataDxfId="4"/>
    <tableColumn id="7" xr3:uid="{D1CAC944-2B0D-4CCC-B76D-DD1FCB63ABF8}" name="Column7" dataDxfId="3"/>
    <tableColumn id="8" xr3:uid="{A9BEDED7-B836-4FCA-98F6-441CA35ABE71}" name="Column8" dataDxfId="2"/>
    <tableColumn id="9" xr3:uid="{EF3845C4-6995-4C59-A72D-A11F8BC464F3}" name="Column9" dataDxfId="1"/>
    <tableColumn id="10" xr3:uid="{80171526-21F4-4DD9-B059-EC2FDCBFE7C7}" name="Column10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10" Type="http://schemas.openxmlformats.org/officeDocument/2006/relationships/table" Target="../tables/table21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110C-EB53-4C39-B5D3-B693C516AFCE}">
  <dimension ref="A1:GV54"/>
  <sheetViews>
    <sheetView tabSelected="1" zoomScale="85" zoomScaleNormal="85" workbookViewId="0">
      <selection activeCell="B9" sqref="B9"/>
    </sheetView>
  </sheetViews>
  <sheetFormatPr defaultColWidth="9.140625" defaultRowHeight="15" x14ac:dyDescent="0.25"/>
  <cols>
    <col min="1" max="1" width="26.7109375" style="26" bestFit="1" customWidth="1"/>
    <col min="2" max="2" width="27.28515625" style="26" bestFit="1" customWidth="1"/>
    <col min="3" max="5" width="14.85546875" style="26" bestFit="1" customWidth="1"/>
    <col min="6" max="6" width="27.28515625" style="26" bestFit="1" customWidth="1"/>
    <col min="7" max="9" width="14.85546875" style="26" bestFit="1" customWidth="1"/>
    <col min="10" max="10" width="27.28515625" style="26" bestFit="1" customWidth="1"/>
    <col min="11" max="13" width="14.85546875" style="26" bestFit="1" customWidth="1"/>
    <col min="14" max="14" width="26.7109375" style="26" bestFit="1" customWidth="1"/>
    <col min="15" max="17" width="14.85546875" style="26" bestFit="1" customWidth="1"/>
    <col min="18" max="18" width="27.28515625" style="26" bestFit="1" customWidth="1"/>
    <col min="19" max="21" width="14.85546875" style="26" bestFit="1" customWidth="1"/>
    <col min="22" max="22" width="27.28515625" style="26" bestFit="1" customWidth="1"/>
    <col min="23" max="25" width="14.85546875" style="26" bestFit="1" customWidth="1"/>
    <col min="26" max="26" width="27.28515625" style="26" bestFit="1" customWidth="1"/>
    <col min="27" max="27" width="14.85546875" style="26" bestFit="1" customWidth="1"/>
    <col min="28" max="28" width="15.42578125" style="26" bestFit="1" customWidth="1"/>
    <col min="29" max="29" width="16.85546875" style="26" bestFit="1" customWidth="1"/>
    <col min="30" max="30" width="27.28515625" style="26" bestFit="1" customWidth="1"/>
    <col min="31" max="33" width="18.28515625" style="26" bestFit="1" customWidth="1"/>
    <col min="34" max="34" width="27.28515625" style="26" bestFit="1" customWidth="1"/>
    <col min="35" max="37" width="18.140625" style="26" bestFit="1" customWidth="1"/>
    <col min="38" max="38" width="37.42578125" style="26" bestFit="1" customWidth="1"/>
    <col min="39" max="39" width="35.85546875" style="26" bestFit="1" customWidth="1"/>
    <col min="40" max="40" width="33.5703125" style="26" bestFit="1" customWidth="1"/>
    <col min="41" max="41" width="23.5703125" style="26" bestFit="1" customWidth="1"/>
    <col min="42" max="42" width="36.42578125" style="26" bestFit="1" customWidth="1"/>
    <col min="43" max="43" width="26.7109375" style="26" bestFit="1" customWidth="1"/>
    <col min="44" max="44" width="20.7109375" style="26" bestFit="1" customWidth="1"/>
    <col min="45" max="45" width="27.42578125" style="26" bestFit="1" customWidth="1"/>
    <col min="46" max="46" width="33.140625" style="26" bestFit="1" customWidth="1"/>
    <col min="47" max="47" width="27.7109375" style="26" bestFit="1" customWidth="1"/>
    <col min="48" max="48" width="37.42578125" style="26" bestFit="1" customWidth="1"/>
    <col min="49" max="49" width="27.140625" style="26" bestFit="1" customWidth="1"/>
    <col min="50" max="50" width="26.85546875" style="26" bestFit="1" customWidth="1"/>
    <col min="51" max="51" width="25.7109375" style="26" bestFit="1" customWidth="1"/>
    <col min="52" max="52" width="33" style="26" bestFit="1" customWidth="1"/>
    <col min="53" max="53" width="29.140625" style="26" bestFit="1" customWidth="1"/>
    <col min="54" max="54" width="30.5703125" style="26" bestFit="1" customWidth="1"/>
    <col min="55" max="55" width="34.42578125" style="26" bestFit="1" customWidth="1"/>
    <col min="56" max="56" width="42" style="26" bestFit="1" customWidth="1"/>
    <col min="57" max="57" width="48.28515625" style="26" bestFit="1" customWidth="1"/>
    <col min="58" max="58" width="48.7109375" style="26" bestFit="1" customWidth="1"/>
    <col min="59" max="59" width="32.140625" style="26" bestFit="1" customWidth="1"/>
    <col min="60" max="60" width="31" style="26" bestFit="1" customWidth="1"/>
    <col min="61" max="61" width="37.42578125" style="26" bestFit="1" customWidth="1"/>
    <col min="62" max="63" width="44.28515625" style="26" bestFit="1" customWidth="1"/>
    <col min="64" max="64" width="36.42578125" style="26" bestFit="1" customWidth="1"/>
    <col min="65" max="65" width="36.7109375" style="26" bestFit="1" customWidth="1"/>
    <col min="66" max="66" width="36.42578125" style="26" bestFit="1" customWidth="1"/>
    <col min="67" max="68" width="43.140625" style="26" bestFit="1" customWidth="1"/>
    <col min="69" max="69" width="35.42578125" style="26" bestFit="1" customWidth="1"/>
    <col min="70" max="70" width="35.7109375" style="26" bestFit="1" customWidth="1"/>
    <col min="71" max="71" width="15.85546875" style="26" bestFit="1" customWidth="1"/>
    <col min="72" max="72" width="26.42578125" style="26" bestFit="1" customWidth="1"/>
    <col min="73" max="73" width="45.28515625" style="26" bestFit="1" customWidth="1"/>
    <col min="74" max="74" width="51" style="26" bestFit="1" customWidth="1"/>
    <col min="75" max="75" width="36.85546875" style="26" bestFit="1" customWidth="1"/>
    <col min="76" max="76" width="37.28515625" style="26" bestFit="1" customWidth="1"/>
    <col min="77" max="77" width="26.7109375" style="26" bestFit="1" customWidth="1"/>
    <col min="78" max="78" width="34.28515625" style="26" bestFit="1" customWidth="1"/>
    <col min="79" max="79" width="30.140625" style="26" bestFit="1" customWidth="1"/>
    <col min="80" max="80" width="32.85546875" style="26" bestFit="1" customWidth="1"/>
    <col min="81" max="81" width="31.7109375" style="26" bestFit="1" customWidth="1"/>
    <col min="82" max="82" width="25.28515625" style="26" bestFit="1" customWidth="1"/>
    <col min="83" max="83" width="34.5703125" style="26" bestFit="1" customWidth="1"/>
    <col min="84" max="84" width="35" style="26" bestFit="1" customWidth="1"/>
    <col min="85" max="85" width="34.5703125" style="26" bestFit="1" customWidth="1"/>
    <col min="86" max="86" width="32.85546875" style="26" bestFit="1" customWidth="1"/>
    <col min="87" max="87" width="33" style="26" bestFit="1" customWidth="1"/>
    <col min="88" max="88" width="32.85546875" style="26" bestFit="1" customWidth="1"/>
    <col min="89" max="89" width="36.85546875" style="26" bestFit="1" customWidth="1"/>
    <col min="90" max="90" width="37.28515625" style="26" bestFit="1" customWidth="1"/>
    <col min="91" max="91" width="26.7109375" style="26" bestFit="1" customWidth="1"/>
    <col min="92" max="92" width="35.28515625" style="26" bestFit="1" customWidth="1"/>
    <col min="93" max="93" width="35.7109375" style="26" bestFit="1" customWidth="1"/>
    <col min="94" max="94" width="25" style="26" bestFit="1" customWidth="1"/>
    <col min="95" max="95" width="15.85546875" style="26" bestFit="1" customWidth="1"/>
    <col min="96" max="96" width="27.7109375" style="26" bestFit="1" customWidth="1"/>
    <col min="97" max="97" width="19.140625" style="26" bestFit="1" customWidth="1"/>
    <col min="98" max="98" width="21" style="26" bestFit="1" customWidth="1"/>
    <col min="99" max="100" width="27.140625" style="26" bestFit="1" customWidth="1"/>
    <col min="101" max="101" width="26.85546875" style="26" bestFit="1" customWidth="1"/>
    <col min="102" max="102" width="22.5703125" style="26" bestFit="1" customWidth="1"/>
    <col min="103" max="103" width="38.28515625" style="26" bestFit="1" customWidth="1"/>
    <col min="104" max="104" width="42.5703125" style="26" bestFit="1" customWidth="1"/>
    <col min="105" max="105" width="40.5703125" style="26" bestFit="1" customWidth="1"/>
    <col min="106" max="106" width="22.140625" style="26" bestFit="1" customWidth="1"/>
    <col min="107" max="107" width="33" style="26" bestFit="1" customWidth="1"/>
    <col min="108" max="108" width="33.140625" style="26" bestFit="1" customWidth="1"/>
    <col min="109" max="109" width="27.140625" style="26" bestFit="1" customWidth="1"/>
    <col min="110" max="110" width="34.28515625" style="26" bestFit="1" customWidth="1"/>
    <col min="111" max="111" width="29.28515625" style="26" bestFit="1" customWidth="1"/>
    <col min="112" max="112" width="30" style="26" bestFit="1" customWidth="1"/>
    <col min="113" max="113" width="33.42578125" style="26" bestFit="1" customWidth="1"/>
    <col min="114" max="114" width="30" style="26" bestFit="1" customWidth="1"/>
    <col min="115" max="116" width="34.42578125" style="26" bestFit="1" customWidth="1"/>
    <col min="117" max="117" width="34.28515625" style="26" bestFit="1" customWidth="1"/>
    <col min="118" max="118" width="40.140625" style="26" bestFit="1" customWidth="1"/>
    <col min="119" max="119" width="30.28515625" style="26" bestFit="1" customWidth="1"/>
    <col min="120" max="120" width="37.85546875" style="26" bestFit="1" customWidth="1"/>
    <col min="121" max="121" width="32.85546875" style="26" bestFit="1" customWidth="1"/>
    <col min="122" max="122" width="35.42578125" style="26" bestFit="1" customWidth="1"/>
    <col min="123" max="123" width="35" style="26" bestFit="1" customWidth="1"/>
    <col min="124" max="124" width="28.28515625" style="26" bestFit="1" customWidth="1"/>
    <col min="125" max="125" width="39.140625" style="26" bestFit="1" customWidth="1"/>
    <col min="126" max="126" width="38.140625" style="26" bestFit="1" customWidth="1"/>
    <col min="127" max="128" width="48.85546875" style="26" bestFit="1" customWidth="1"/>
    <col min="129" max="129" width="38.140625" style="26" bestFit="1" customWidth="1"/>
    <col min="130" max="130" width="30.140625" style="26" bestFit="1" customWidth="1"/>
    <col min="131" max="131" width="40.28515625" style="26" bestFit="1" customWidth="1"/>
    <col min="132" max="132" width="36.42578125" style="26" bestFit="1" customWidth="1"/>
    <col min="133" max="133" width="46.7109375" style="26" bestFit="1" customWidth="1"/>
    <col min="134" max="135" width="36.7109375" style="26" bestFit="1" customWidth="1"/>
    <col min="136" max="136" width="29.5703125" style="26" bestFit="1" customWidth="1"/>
    <col min="137" max="137" width="34.42578125" style="26" bestFit="1" customWidth="1"/>
    <col min="138" max="138" width="31" style="26" bestFit="1" customWidth="1"/>
    <col min="139" max="139" width="32.85546875" style="26" bestFit="1" customWidth="1"/>
    <col min="140" max="140" width="32.140625" style="26" bestFit="1" customWidth="1"/>
    <col min="141" max="141" width="36.28515625" style="26" bestFit="1" customWidth="1"/>
    <col min="142" max="142" width="37.7109375" style="26" bestFit="1" customWidth="1"/>
    <col min="143" max="143" width="43.5703125" style="26" bestFit="1" customWidth="1"/>
    <col min="144" max="145" width="27.140625" style="26" bestFit="1" customWidth="1"/>
    <col min="146" max="146" width="26.85546875" style="26" bestFit="1" customWidth="1"/>
    <col min="147" max="147" width="21.5703125" style="26" bestFit="1" customWidth="1"/>
    <col min="148" max="148" width="35" style="26" bestFit="1" customWidth="1"/>
    <col min="149" max="149" width="35.28515625" style="26" bestFit="1" customWidth="1"/>
    <col min="150" max="150" width="35" style="26" bestFit="1" customWidth="1"/>
    <col min="151" max="151" width="33" style="26" bestFit="1" customWidth="1"/>
    <col min="152" max="152" width="33.140625" style="26" bestFit="1" customWidth="1"/>
    <col min="153" max="153" width="33" style="26" bestFit="1" customWidth="1"/>
    <col min="154" max="154" width="25.7109375" style="26" bestFit="1" customWidth="1"/>
    <col min="155" max="155" width="31.140625" style="26" bestFit="1" customWidth="1"/>
    <col min="156" max="156" width="35.85546875" style="26" bestFit="1" customWidth="1"/>
    <col min="157" max="157" width="36.85546875" style="26" bestFit="1" customWidth="1"/>
    <col min="158" max="158" width="24.28515625" style="26" bestFit="1" customWidth="1"/>
    <col min="159" max="160" width="32.5703125" style="26" bestFit="1" customWidth="1"/>
    <col min="161" max="161" width="24.42578125" style="26" bestFit="1" customWidth="1"/>
    <col min="162" max="163" width="32.85546875" style="26" bestFit="1" customWidth="1"/>
    <col min="164" max="164" width="24.28515625" style="26" bestFit="1" customWidth="1"/>
    <col min="165" max="166" width="32.5703125" style="26" bestFit="1" customWidth="1"/>
    <col min="167" max="167" width="32.140625" style="26" bestFit="1" customWidth="1"/>
    <col min="168" max="168" width="27.85546875" style="26" bestFit="1" customWidth="1"/>
    <col min="169" max="169" width="28.140625" style="26" bestFit="1" customWidth="1"/>
    <col min="170" max="170" width="30" style="26" bestFit="1" customWidth="1"/>
    <col min="171" max="171" width="38.7109375" style="26" bestFit="1" customWidth="1"/>
    <col min="172" max="172" width="33.42578125" style="26" bestFit="1" customWidth="1"/>
    <col min="173" max="173" width="26.42578125" style="26" bestFit="1" customWidth="1"/>
    <col min="174" max="174" width="28.140625" style="26" bestFit="1" customWidth="1"/>
    <col min="175" max="175" width="27.42578125" style="26" bestFit="1" customWidth="1"/>
    <col min="176" max="176" width="32.85546875" style="26" bestFit="1" customWidth="1"/>
    <col min="177" max="177" width="29.140625" style="26" bestFit="1" customWidth="1"/>
    <col min="178" max="178" width="17.85546875" style="26" bestFit="1" customWidth="1"/>
    <col min="179" max="179" width="26.85546875" style="26" bestFit="1" customWidth="1"/>
    <col min="180" max="180" width="33.42578125" style="26" bestFit="1" customWidth="1"/>
    <col min="181" max="181" width="35.42578125" style="26" bestFit="1" customWidth="1"/>
    <col min="182" max="182" width="35.7109375" style="26" bestFit="1" customWidth="1"/>
    <col min="183" max="183" width="35.42578125" style="26" bestFit="1" customWidth="1"/>
    <col min="184" max="184" width="33.42578125" style="26" bestFit="1" customWidth="1"/>
    <col min="185" max="185" width="33.5703125" style="26" bestFit="1" customWidth="1"/>
    <col min="186" max="186" width="33.42578125" style="26" bestFit="1" customWidth="1"/>
    <col min="187" max="187" width="26.85546875" style="26" bestFit="1" customWidth="1"/>
    <col min="188" max="188" width="31" style="26" bestFit="1" customWidth="1"/>
    <col min="189" max="189" width="30.5703125" style="26" bestFit="1" customWidth="1"/>
    <col min="190" max="190" width="27.140625" style="26" bestFit="1" customWidth="1"/>
    <col min="191" max="191" width="38.85546875" style="26" bestFit="1" customWidth="1"/>
    <col min="192" max="192" width="33.140625" style="26" bestFit="1" customWidth="1"/>
    <col min="193" max="193" width="40.7109375" style="26" bestFit="1" customWidth="1"/>
    <col min="194" max="194" width="35" style="26" bestFit="1" customWidth="1"/>
    <col min="195" max="195" width="30.5703125" style="26" bestFit="1" customWidth="1"/>
    <col min="196" max="196" width="29.28515625" style="26" bestFit="1" customWidth="1"/>
    <col min="197" max="197" width="36.42578125" style="26" bestFit="1" customWidth="1"/>
    <col min="198" max="198" width="27.7109375" style="26" bestFit="1" customWidth="1"/>
    <col min="199" max="199" width="27.85546875" style="26" bestFit="1" customWidth="1"/>
    <col min="200" max="200" width="32.42578125" style="26" bestFit="1" customWidth="1"/>
    <col min="201" max="201" width="32.140625" style="26" bestFit="1" customWidth="1"/>
    <col min="202" max="202" width="21.7109375" style="26" bestFit="1" customWidth="1"/>
    <col min="203" max="203" width="27.28515625" style="26" bestFit="1" customWidth="1"/>
    <col min="204" max="204" width="30.140625" style="26" bestFit="1" customWidth="1"/>
    <col min="205" max="205" width="13.7109375" style="26" customWidth="1"/>
    <col min="206" max="16384" width="9.140625" style="26"/>
  </cols>
  <sheetData>
    <row r="1" spans="1:204" s="18" customFormat="1" x14ac:dyDescent="0.25">
      <c r="A1" s="15" t="s">
        <v>0</v>
      </c>
      <c r="B1" s="16"/>
      <c r="C1" s="17" t="s">
        <v>1</v>
      </c>
      <c r="D1" s="17" t="s">
        <v>1</v>
      </c>
      <c r="E1" s="17" t="s">
        <v>1</v>
      </c>
      <c r="F1" s="17"/>
      <c r="G1" s="17" t="s">
        <v>1</v>
      </c>
      <c r="H1" s="17" t="s">
        <v>1</v>
      </c>
      <c r="I1" s="17" t="s">
        <v>1</v>
      </c>
      <c r="J1" s="17"/>
      <c r="K1" s="17" t="s">
        <v>1</v>
      </c>
      <c r="L1" s="17" t="s">
        <v>1</v>
      </c>
      <c r="M1" s="17" t="s">
        <v>1</v>
      </c>
      <c r="N1" s="17"/>
      <c r="O1" s="42" t="s">
        <v>1</v>
      </c>
      <c r="P1" s="17" t="s">
        <v>1</v>
      </c>
      <c r="Q1" s="17" t="s">
        <v>1</v>
      </c>
      <c r="R1" s="17"/>
      <c r="S1" s="17" t="s">
        <v>2</v>
      </c>
      <c r="T1" s="17" t="s">
        <v>2</v>
      </c>
      <c r="U1" s="17" t="s">
        <v>2</v>
      </c>
      <c r="V1" s="17"/>
      <c r="W1" s="17" t="s">
        <v>1</v>
      </c>
      <c r="X1" s="17" t="s">
        <v>1</v>
      </c>
      <c r="Y1" s="17" t="s">
        <v>1</v>
      </c>
      <c r="Z1" s="17"/>
      <c r="AA1" s="17" t="s">
        <v>1</v>
      </c>
      <c r="AB1" s="17" t="s">
        <v>1</v>
      </c>
      <c r="AC1" s="17" t="s">
        <v>1</v>
      </c>
      <c r="AD1" s="17"/>
      <c r="AE1" s="17" t="s">
        <v>1</v>
      </c>
      <c r="AF1" s="17" t="s">
        <v>1</v>
      </c>
      <c r="AG1" s="17" t="s">
        <v>1</v>
      </c>
      <c r="AH1" s="17"/>
      <c r="AI1" s="17" t="s">
        <v>1</v>
      </c>
      <c r="AJ1" s="17" t="s">
        <v>1</v>
      </c>
      <c r="AK1" s="17" t="s">
        <v>1</v>
      </c>
    </row>
    <row r="2" spans="1:204" s="18" customFormat="1" x14ac:dyDescent="0.25">
      <c r="A2" s="19" t="s">
        <v>3</v>
      </c>
      <c r="B2" s="16"/>
      <c r="C2" s="17" t="s">
        <v>4</v>
      </c>
      <c r="D2" s="17" t="s">
        <v>4</v>
      </c>
      <c r="E2" s="17" t="s">
        <v>4</v>
      </c>
      <c r="F2" s="20"/>
      <c r="G2" s="20" t="s">
        <v>4</v>
      </c>
      <c r="H2" s="20" t="s">
        <v>4</v>
      </c>
      <c r="I2" s="20" t="s">
        <v>4</v>
      </c>
      <c r="J2" s="17"/>
      <c r="K2" s="17" t="s">
        <v>10</v>
      </c>
      <c r="L2" s="17" t="s">
        <v>10</v>
      </c>
      <c r="M2" s="17" t="s">
        <v>10</v>
      </c>
      <c r="N2" s="17"/>
      <c r="O2" s="17" t="s">
        <v>10</v>
      </c>
      <c r="P2" s="17" t="s">
        <v>10</v>
      </c>
      <c r="Q2" s="17" t="s">
        <v>10</v>
      </c>
      <c r="R2" s="17"/>
      <c r="S2" s="17" t="s">
        <v>5</v>
      </c>
      <c r="T2" s="17" t="s">
        <v>5</v>
      </c>
      <c r="U2" s="17" t="s">
        <v>5</v>
      </c>
      <c r="V2" s="17"/>
      <c r="W2" s="17" t="s">
        <v>6</v>
      </c>
      <c r="X2" s="17" t="s">
        <v>5</v>
      </c>
      <c r="Y2" s="17" t="s">
        <v>5</v>
      </c>
      <c r="Z2" s="17"/>
      <c r="AA2" s="17" t="s">
        <v>7</v>
      </c>
      <c r="AB2" s="17" t="s">
        <v>8</v>
      </c>
      <c r="AC2" s="17" t="s">
        <v>9</v>
      </c>
      <c r="AD2" s="17"/>
      <c r="AE2" s="17" t="s">
        <v>11</v>
      </c>
      <c r="AF2" s="17" t="s">
        <v>11</v>
      </c>
      <c r="AG2" s="17" t="s">
        <v>11</v>
      </c>
      <c r="AH2" s="17"/>
      <c r="AI2" s="17" t="s">
        <v>11</v>
      </c>
      <c r="AJ2" s="17" t="s">
        <v>11</v>
      </c>
      <c r="AK2" s="17" t="s">
        <v>11</v>
      </c>
    </row>
    <row r="3" spans="1:204" s="18" customFormat="1" x14ac:dyDescent="0.25">
      <c r="A3" s="19" t="s">
        <v>12</v>
      </c>
      <c r="B3" s="16"/>
      <c r="C3" s="17" t="s">
        <v>13</v>
      </c>
      <c r="D3" s="17" t="s">
        <v>13</v>
      </c>
      <c r="E3" s="17" t="s">
        <v>13</v>
      </c>
      <c r="F3" s="17"/>
      <c r="G3" s="17" t="s">
        <v>14</v>
      </c>
      <c r="H3" s="17" t="s">
        <v>14</v>
      </c>
      <c r="I3" s="17" t="s">
        <v>14</v>
      </c>
      <c r="J3" s="17"/>
      <c r="K3" s="17" t="s">
        <v>13</v>
      </c>
      <c r="L3" s="17" t="s">
        <v>13</v>
      </c>
      <c r="M3" s="17" t="s">
        <v>13</v>
      </c>
      <c r="N3" s="17"/>
      <c r="O3" s="17" t="s">
        <v>14</v>
      </c>
      <c r="P3" s="17" t="s">
        <v>14</v>
      </c>
      <c r="Q3" s="17" t="s">
        <v>14</v>
      </c>
      <c r="R3" s="17"/>
      <c r="S3" s="17" t="s">
        <v>14</v>
      </c>
      <c r="T3" s="17" t="s">
        <v>15</v>
      </c>
      <c r="U3" s="17" t="s">
        <v>16</v>
      </c>
      <c r="V3" s="17"/>
      <c r="W3" s="17" t="s">
        <v>14</v>
      </c>
      <c r="X3" s="17" t="s">
        <v>15</v>
      </c>
      <c r="Y3" s="17" t="s">
        <v>16</v>
      </c>
      <c r="Z3" s="17"/>
      <c r="AA3" s="17" t="s">
        <v>14</v>
      </c>
      <c r="AB3" s="17" t="s">
        <v>14</v>
      </c>
      <c r="AC3" s="17" t="s">
        <v>14</v>
      </c>
      <c r="AD3" s="17"/>
      <c r="AE3" s="17" t="s">
        <v>17</v>
      </c>
      <c r="AF3" s="17" t="s">
        <v>17</v>
      </c>
      <c r="AG3" s="17" t="s">
        <v>17</v>
      </c>
      <c r="AH3" s="17"/>
      <c r="AI3" s="17" t="s">
        <v>14</v>
      </c>
      <c r="AJ3" s="17" t="s">
        <v>14</v>
      </c>
      <c r="AK3" s="17" t="s">
        <v>14</v>
      </c>
    </row>
    <row r="4" spans="1:204" s="18" customFormat="1" x14ac:dyDescent="0.25">
      <c r="A4" s="21" t="s">
        <v>18</v>
      </c>
      <c r="B4" s="16"/>
      <c r="C4" s="17" t="s">
        <v>19</v>
      </c>
      <c r="D4" s="17" t="s">
        <v>20</v>
      </c>
      <c r="E4" s="17" t="s">
        <v>21</v>
      </c>
      <c r="F4" s="17"/>
      <c r="G4" s="17" t="s">
        <v>19</v>
      </c>
      <c r="H4" s="17" t="s">
        <v>20</v>
      </c>
      <c r="I4" s="17" t="s">
        <v>21</v>
      </c>
      <c r="J4" s="17" t="s">
        <v>23</v>
      </c>
      <c r="K4" s="17" t="s">
        <v>19</v>
      </c>
      <c r="L4" s="17" t="s">
        <v>20</v>
      </c>
      <c r="M4" s="17" t="s">
        <v>21</v>
      </c>
      <c r="N4" s="17" t="s">
        <v>23</v>
      </c>
      <c r="O4" s="17" t="s">
        <v>19</v>
      </c>
      <c r="P4" s="17" t="s">
        <v>20</v>
      </c>
      <c r="Q4" s="17" t="s">
        <v>21</v>
      </c>
      <c r="R4" s="17"/>
      <c r="S4" s="17" t="s">
        <v>5</v>
      </c>
      <c r="T4" s="17" t="s">
        <v>5</v>
      </c>
      <c r="U4" s="17" t="s">
        <v>5</v>
      </c>
      <c r="V4" s="17"/>
      <c r="W4" s="17" t="s">
        <v>5</v>
      </c>
      <c r="X4" s="17" t="s">
        <v>5</v>
      </c>
      <c r="Y4" s="17" t="s">
        <v>5</v>
      </c>
      <c r="Z4" s="17"/>
      <c r="AA4" s="17" t="s">
        <v>22</v>
      </c>
      <c r="AB4" s="22">
        <v>0.2</v>
      </c>
      <c r="AC4" s="22">
        <v>0.2</v>
      </c>
      <c r="AD4" s="17" t="s">
        <v>23</v>
      </c>
      <c r="AE4" s="17" t="s">
        <v>19</v>
      </c>
      <c r="AF4" s="17" t="s">
        <v>24</v>
      </c>
      <c r="AG4" s="17" t="s">
        <v>20</v>
      </c>
      <c r="AH4" s="17" t="s">
        <v>23</v>
      </c>
      <c r="AI4" s="17" t="s">
        <v>19</v>
      </c>
      <c r="AJ4" s="17" t="s">
        <v>24</v>
      </c>
      <c r="AK4" s="17" t="s">
        <v>20</v>
      </c>
    </row>
    <row r="5" spans="1:204" s="18" customFormat="1" x14ac:dyDescent="0.25">
      <c r="A5" s="15" t="s">
        <v>29</v>
      </c>
      <c r="B5" s="23" t="s">
        <v>25</v>
      </c>
      <c r="C5" s="17" t="s">
        <v>26</v>
      </c>
      <c r="D5" s="17" t="s">
        <v>27</v>
      </c>
      <c r="E5" s="17" t="s">
        <v>28</v>
      </c>
      <c r="F5" s="24" t="s">
        <v>25</v>
      </c>
      <c r="G5" s="17" t="s">
        <v>26</v>
      </c>
      <c r="H5" s="17" t="s">
        <v>27</v>
      </c>
      <c r="I5" s="17" t="s">
        <v>28</v>
      </c>
      <c r="J5" s="24" t="s">
        <v>25</v>
      </c>
      <c r="K5" s="25" t="s">
        <v>26</v>
      </c>
      <c r="L5" s="25" t="s">
        <v>27</v>
      </c>
      <c r="M5" s="25" t="s">
        <v>28</v>
      </c>
      <c r="N5" s="24" t="s">
        <v>25</v>
      </c>
      <c r="O5" s="25" t="s">
        <v>26</v>
      </c>
      <c r="P5" s="25" t="s">
        <v>27</v>
      </c>
      <c r="Q5" s="25" t="s">
        <v>28</v>
      </c>
      <c r="R5" s="24" t="s">
        <v>25</v>
      </c>
      <c r="S5" s="17" t="s">
        <v>26</v>
      </c>
      <c r="T5" s="17" t="s">
        <v>27</v>
      </c>
      <c r="U5" s="17" t="s">
        <v>28</v>
      </c>
      <c r="V5" s="24" t="s">
        <v>25</v>
      </c>
      <c r="W5" s="17" t="s">
        <v>26</v>
      </c>
      <c r="X5" s="17" t="s">
        <v>27</v>
      </c>
      <c r="Y5" s="17" t="s">
        <v>28</v>
      </c>
      <c r="Z5" s="24" t="s">
        <v>25</v>
      </c>
      <c r="AA5" s="24" t="s">
        <v>26</v>
      </c>
      <c r="AB5" s="24" t="s">
        <v>27</v>
      </c>
      <c r="AC5" s="24" t="s">
        <v>28</v>
      </c>
      <c r="AD5" s="24" t="s">
        <v>25</v>
      </c>
      <c r="AE5" s="25" t="s">
        <v>26</v>
      </c>
      <c r="AF5" s="25" t="s">
        <v>27</v>
      </c>
      <c r="AG5" s="25" t="s">
        <v>28</v>
      </c>
      <c r="AH5" s="24" t="s">
        <v>25</v>
      </c>
      <c r="AI5" s="25" t="s">
        <v>26</v>
      </c>
      <c r="AJ5" s="25" t="s">
        <v>27</v>
      </c>
      <c r="AK5" s="25" t="s">
        <v>28</v>
      </c>
      <c r="AL5" s="26" t="s">
        <v>29</v>
      </c>
      <c r="AM5" s="26" t="s">
        <v>30</v>
      </c>
      <c r="AN5" s="26" t="s">
        <v>31</v>
      </c>
      <c r="AO5" s="26" t="s">
        <v>32</v>
      </c>
      <c r="AP5" s="26" t="s">
        <v>33</v>
      </c>
      <c r="AQ5" s="26" t="s">
        <v>34</v>
      </c>
      <c r="AR5" s="26" t="s">
        <v>35</v>
      </c>
      <c r="AS5" s="26" t="s">
        <v>36</v>
      </c>
      <c r="AT5" s="26" t="s">
        <v>37</v>
      </c>
      <c r="AU5" s="26" t="s">
        <v>38</v>
      </c>
      <c r="AV5" s="26" t="s">
        <v>39</v>
      </c>
      <c r="AW5" s="26" t="s">
        <v>40</v>
      </c>
      <c r="AX5" s="26" t="s">
        <v>41</v>
      </c>
      <c r="AY5" s="26" t="s">
        <v>42</v>
      </c>
      <c r="AZ5" s="26" t="s">
        <v>43</v>
      </c>
      <c r="BA5" s="26" t="s">
        <v>44</v>
      </c>
      <c r="BB5" s="26" t="s">
        <v>45</v>
      </c>
      <c r="BC5" s="26" t="s">
        <v>46</v>
      </c>
      <c r="BD5" s="26" t="s">
        <v>47</v>
      </c>
      <c r="BE5" s="26" t="s">
        <v>48</v>
      </c>
      <c r="BF5" s="26" t="s">
        <v>49</v>
      </c>
      <c r="BG5" s="26" t="s">
        <v>50</v>
      </c>
      <c r="BH5" s="26" t="s">
        <v>51</v>
      </c>
      <c r="BI5" s="26" t="s">
        <v>52</v>
      </c>
      <c r="BJ5" s="26" t="s">
        <v>53</v>
      </c>
      <c r="BK5" s="26" t="s">
        <v>54</v>
      </c>
      <c r="BL5" s="26" t="s">
        <v>55</v>
      </c>
      <c r="BM5" s="26" t="s">
        <v>56</v>
      </c>
      <c r="BN5" s="26" t="s">
        <v>57</v>
      </c>
      <c r="BO5" s="26" t="s">
        <v>58</v>
      </c>
      <c r="BP5" s="26" t="s">
        <v>59</v>
      </c>
      <c r="BQ5" s="26" t="s">
        <v>60</v>
      </c>
      <c r="BR5" s="26" t="s">
        <v>61</v>
      </c>
      <c r="BS5" s="26" t="s">
        <v>62</v>
      </c>
      <c r="BT5" s="26" t="s">
        <v>63</v>
      </c>
      <c r="BU5" s="26" t="s">
        <v>64</v>
      </c>
      <c r="BV5" s="26" t="s">
        <v>65</v>
      </c>
      <c r="BW5" s="26" t="s">
        <v>66</v>
      </c>
      <c r="BX5" s="26" t="s">
        <v>67</v>
      </c>
      <c r="BY5" s="26" t="s">
        <v>68</v>
      </c>
      <c r="BZ5" s="26" t="s">
        <v>69</v>
      </c>
      <c r="CA5" s="26" t="s">
        <v>70</v>
      </c>
      <c r="CB5" s="26" t="s">
        <v>71</v>
      </c>
      <c r="CC5" s="26" t="s">
        <v>72</v>
      </c>
      <c r="CD5" s="26" t="s">
        <v>73</v>
      </c>
      <c r="CE5" s="26" t="s">
        <v>74</v>
      </c>
      <c r="CF5" s="26" t="s">
        <v>75</v>
      </c>
      <c r="CG5" s="26" t="s">
        <v>76</v>
      </c>
      <c r="CH5" s="26" t="s">
        <v>77</v>
      </c>
      <c r="CI5" s="26" t="s">
        <v>78</v>
      </c>
      <c r="CJ5" s="26" t="s">
        <v>79</v>
      </c>
      <c r="CK5" s="26" t="s">
        <v>80</v>
      </c>
      <c r="CL5" s="26" t="s">
        <v>81</v>
      </c>
      <c r="CM5" s="26" t="s">
        <v>82</v>
      </c>
      <c r="CN5" s="26" t="s">
        <v>83</v>
      </c>
      <c r="CO5" s="26" t="s">
        <v>84</v>
      </c>
      <c r="CP5" s="26" t="s">
        <v>85</v>
      </c>
      <c r="CQ5" s="26" t="s">
        <v>86</v>
      </c>
      <c r="CR5" s="26" t="s">
        <v>87</v>
      </c>
      <c r="CS5" s="26" t="s">
        <v>88</v>
      </c>
      <c r="CT5" s="26" t="s">
        <v>89</v>
      </c>
      <c r="CU5" s="26" t="s">
        <v>90</v>
      </c>
      <c r="CV5" s="26" t="s">
        <v>91</v>
      </c>
      <c r="CW5" s="26" t="s">
        <v>92</v>
      </c>
      <c r="CX5" s="26" t="s">
        <v>93</v>
      </c>
      <c r="CY5" s="26" t="s">
        <v>94</v>
      </c>
      <c r="CZ5" s="26" t="s">
        <v>95</v>
      </c>
      <c r="DA5" s="26" t="s">
        <v>96</v>
      </c>
      <c r="DB5" s="26" t="s">
        <v>97</v>
      </c>
      <c r="DC5" s="26" t="s">
        <v>98</v>
      </c>
      <c r="DD5" s="26" t="s">
        <v>99</v>
      </c>
      <c r="DE5" s="26" t="s">
        <v>100</v>
      </c>
      <c r="DF5" s="26" t="s">
        <v>101</v>
      </c>
      <c r="DG5" s="26" t="s">
        <v>102</v>
      </c>
      <c r="DH5" s="26" t="s">
        <v>103</v>
      </c>
      <c r="DI5" s="26" t="s">
        <v>104</v>
      </c>
      <c r="DJ5" s="26" t="s">
        <v>105</v>
      </c>
      <c r="DK5" s="26" t="s">
        <v>106</v>
      </c>
      <c r="DL5" s="26" t="s">
        <v>107</v>
      </c>
      <c r="DM5" s="26" t="s">
        <v>108</v>
      </c>
      <c r="DN5" s="26" t="s">
        <v>109</v>
      </c>
      <c r="DO5" s="26" t="s">
        <v>110</v>
      </c>
      <c r="DP5" s="26" t="s">
        <v>111</v>
      </c>
      <c r="DQ5" s="26" t="s">
        <v>112</v>
      </c>
      <c r="DR5" s="26" t="s">
        <v>113</v>
      </c>
      <c r="DS5" s="26" t="s">
        <v>114</v>
      </c>
      <c r="DT5" s="26" t="s">
        <v>115</v>
      </c>
      <c r="DU5" s="26" t="s">
        <v>116</v>
      </c>
      <c r="DV5" s="26" t="s">
        <v>117</v>
      </c>
      <c r="DW5" s="26" t="s">
        <v>118</v>
      </c>
      <c r="DX5" s="26" t="s">
        <v>119</v>
      </c>
      <c r="DY5" s="26" t="s">
        <v>120</v>
      </c>
      <c r="DZ5" s="26" t="s">
        <v>121</v>
      </c>
      <c r="EA5" s="26" t="s">
        <v>122</v>
      </c>
      <c r="EB5" s="26" t="s">
        <v>123</v>
      </c>
      <c r="EC5" s="26" t="s">
        <v>124</v>
      </c>
      <c r="ED5" s="26" t="s">
        <v>125</v>
      </c>
      <c r="EE5" s="26" t="s">
        <v>126</v>
      </c>
      <c r="EF5" s="26" t="s">
        <v>127</v>
      </c>
      <c r="EG5" s="26" t="s">
        <v>128</v>
      </c>
      <c r="EH5" s="26" t="s">
        <v>129</v>
      </c>
      <c r="EI5" s="26" t="s">
        <v>130</v>
      </c>
      <c r="EJ5" s="26" t="s">
        <v>131</v>
      </c>
      <c r="EK5" s="26" t="s">
        <v>132</v>
      </c>
      <c r="EL5" s="26" t="s">
        <v>133</v>
      </c>
      <c r="EM5" s="26" t="s">
        <v>134</v>
      </c>
      <c r="EN5" s="26" t="s">
        <v>135</v>
      </c>
      <c r="EO5" s="26" t="s">
        <v>136</v>
      </c>
      <c r="EP5" s="26" t="s">
        <v>137</v>
      </c>
      <c r="EQ5" s="26" t="s">
        <v>138</v>
      </c>
      <c r="ER5" s="26" t="s">
        <v>139</v>
      </c>
      <c r="ES5" s="26" t="s">
        <v>140</v>
      </c>
      <c r="ET5" s="26" t="s">
        <v>141</v>
      </c>
      <c r="EU5" s="26" t="s">
        <v>142</v>
      </c>
      <c r="EV5" s="26" t="s">
        <v>143</v>
      </c>
      <c r="EW5" s="26" t="s">
        <v>144</v>
      </c>
      <c r="EX5" s="26" t="s">
        <v>145</v>
      </c>
      <c r="EY5" s="26" t="s">
        <v>146</v>
      </c>
      <c r="EZ5" s="26" t="s">
        <v>147</v>
      </c>
      <c r="FA5" s="26" t="s">
        <v>148</v>
      </c>
      <c r="FB5" s="26" t="s">
        <v>149</v>
      </c>
      <c r="FC5" s="26" t="s">
        <v>150</v>
      </c>
      <c r="FD5" s="26" t="s">
        <v>151</v>
      </c>
      <c r="FE5" s="26" t="s">
        <v>152</v>
      </c>
      <c r="FF5" s="26" t="s">
        <v>153</v>
      </c>
      <c r="FG5" s="26" t="s">
        <v>154</v>
      </c>
      <c r="FH5" s="26" t="s">
        <v>155</v>
      </c>
      <c r="FI5" s="26" t="s">
        <v>156</v>
      </c>
      <c r="FJ5" s="26" t="s">
        <v>157</v>
      </c>
      <c r="FK5" s="26" t="s">
        <v>158</v>
      </c>
      <c r="FL5" s="26" t="s">
        <v>159</v>
      </c>
      <c r="FM5" s="26" t="s">
        <v>160</v>
      </c>
      <c r="FN5" s="26" t="s">
        <v>161</v>
      </c>
      <c r="FO5" s="26" t="s">
        <v>162</v>
      </c>
      <c r="FP5" s="26" t="s">
        <v>163</v>
      </c>
      <c r="FQ5" s="26" t="s">
        <v>164</v>
      </c>
      <c r="FR5" s="26" t="s">
        <v>165</v>
      </c>
      <c r="FS5" s="26" t="s">
        <v>166</v>
      </c>
      <c r="FT5" s="26" t="s">
        <v>167</v>
      </c>
      <c r="FU5" s="26" t="s">
        <v>168</v>
      </c>
      <c r="FV5" s="26" t="s">
        <v>169</v>
      </c>
      <c r="FW5" s="26" t="s">
        <v>170</v>
      </c>
      <c r="FX5" s="26" t="s">
        <v>171</v>
      </c>
      <c r="FY5" s="26" t="s">
        <v>172</v>
      </c>
      <c r="FZ5" s="26" t="s">
        <v>173</v>
      </c>
      <c r="GA5" s="26" t="s">
        <v>174</v>
      </c>
      <c r="GB5" s="26" t="s">
        <v>175</v>
      </c>
      <c r="GC5" s="26" t="s">
        <v>176</v>
      </c>
      <c r="GD5" s="26" t="s">
        <v>177</v>
      </c>
      <c r="GE5" s="26" t="s">
        <v>178</v>
      </c>
      <c r="GF5" s="26" t="s">
        <v>179</v>
      </c>
      <c r="GG5" s="26" t="s">
        <v>180</v>
      </c>
      <c r="GH5" s="26" t="s">
        <v>181</v>
      </c>
      <c r="GI5" s="26" t="s">
        <v>182</v>
      </c>
      <c r="GJ5" s="26" t="s">
        <v>183</v>
      </c>
      <c r="GK5" s="26" t="s">
        <v>184</v>
      </c>
      <c r="GL5" s="26" t="s">
        <v>185</v>
      </c>
      <c r="GM5" s="26" t="s">
        <v>186</v>
      </c>
      <c r="GN5" s="26" t="s">
        <v>187</v>
      </c>
      <c r="GO5" s="26" t="s">
        <v>188</v>
      </c>
      <c r="GP5" s="26" t="s">
        <v>189</v>
      </c>
      <c r="GQ5" s="26" t="s">
        <v>190</v>
      </c>
      <c r="GR5" s="26" t="s">
        <v>191</v>
      </c>
      <c r="GS5" s="26" t="s">
        <v>192</v>
      </c>
      <c r="GT5" s="26" t="s">
        <v>193</v>
      </c>
      <c r="GU5" s="26" t="s">
        <v>194</v>
      </c>
      <c r="GV5" s="26" t="s">
        <v>195</v>
      </c>
    </row>
    <row r="6" spans="1:204" x14ac:dyDescent="0.25">
      <c r="A6" s="27" t="s">
        <v>196</v>
      </c>
      <c r="B6" s="28" t="s">
        <v>196</v>
      </c>
      <c r="C6" s="28">
        <v>0.19</v>
      </c>
      <c r="D6" s="28">
        <v>0.17</v>
      </c>
      <c r="E6" s="28">
        <v>0.09</v>
      </c>
      <c r="F6" s="28" t="s">
        <v>196</v>
      </c>
      <c r="G6" s="28">
        <v>1.02</v>
      </c>
      <c r="H6" s="28">
        <v>0.76</v>
      </c>
      <c r="I6" s="28">
        <v>0.53</v>
      </c>
      <c r="J6" s="29" t="s">
        <v>196</v>
      </c>
      <c r="K6" s="30">
        <v>0.19</v>
      </c>
      <c r="L6" s="30">
        <v>0.17</v>
      </c>
      <c r="M6" s="30">
        <v>0.12</v>
      </c>
      <c r="N6" s="41" t="s">
        <v>196</v>
      </c>
      <c r="O6" s="30">
        <v>1.03</v>
      </c>
      <c r="P6" s="30">
        <v>1.07</v>
      </c>
      <c r="Q6" s="30">
        <v>1.32</v>
      </c>
      <c r="R6" s="29" t="s">
        <v>196</v>
      </c>
      <c r="S6" s="31">
        <v>1.1299999999999999</v>
      </c>
      <c r="T6" s="31">
        <v>0.23</v>
      </c>
      <c r="U6" s="31">
        <v>0.26</v>
      </c>
      <c r="V6" s="29" t="s">
        <v>196</v>
      </c>
      <c r="W6" s="31">
        <v>1.07</v>
      </c>
      <c r="X6" s="31">
        <v>0.19</v>
      </c>
      <c r="Y6" s="31">
        <v>0.2</v>
      </c>
      <c r="Z6" s="29" t="s">
        <v>196</v>
      </c>
      <c r="AA6" s="29">
        <v>1.01</v>
      </c>
      <c r="AB6" s="29">
        <v>0.79</v>
      </c>
      <c r="AC6" s="29">
        <v>0.72</v>
      </c>
      <c r="AD6" s="28" t="s">
        <v>196</v>
      </c>
      <c r="AE6" s="28">
        <v>0.19</v>
      </c>
      <c r="AF6" s="28">
        <v>0.17</v>
      </c>
      <c r="AG6" s="28">
        <v>0.15</v>
      </c>
      <c r="AH6" s="28" t="s">
        <v>196</v>
      </c>
      <c r="AI6" s="28">
        <v>1.02</v>
      </c>
      <c r="AJ6" s="28">
        <v>0.8</v>
      </c>
      <c r="AK6" s="28">
        <v>0.69</v>
      </c>
      <c r="AL6" s="32" t="s">
        <v>196</v>
      </c>
      <c r="AM6" s="32">
        <v>9</v>
      </c>
      <c r="AN6" s="32">
        <v>6.7521008403361199E-2</v>
      </c>
      <c r="AO6" s="32">
        <v>1405.29999999999</v>
      </c>
      <c r="AP6" s="32">
        <v>1398.6599999999901</v>
      </c>
      <c r="AQ6" s="32">
        <v>237.94999999999899</v>
      </c>
      <c r="AR6" s="32">
        <v>84.961383060995203</v>
      </c>
      <c r="AS6" s="32">
        <v>15.5899999999999</v>
      </c>
      <c r="AT6" s="32">
        <v>49.069799999999901</v>
      </c>
      <c r="AU6" s="32">
        <v>1.83405531674782E-2</v>
      </c>
      <c r="AV6" s="32">
        <v>-529.66571428571399</v>
      </c>
      <c r="AW6" s="32">
        <v>524.72915202756599</v>
      </c>
      <c r="AX6" s="32">
        <v>3.0000000000013101</v>
      </c>
      <c r="AY6" s="32">
        <v>5.3963829440143501E-3</v>
      </c>
      <c r="AZ6" s="32">
        <v>1.9725740627495599E-2</v>
      </c>
      <c r="BA6" s="32">
        <v>3.2633173745360899E-2</v>
      </c>
      <c r="BB6" s="32">
        <v>0.45516539094585301</v>
      </c>
      <c r="BC6" s="32">
        <v>536.25910290005902</v>
      </c>
      <c r="BD6" s="32">
        <v>781.50479518908901</v>
      </c>
      <c r="BE6" s="32">
        <v>583.66430575282004</v>
      </c>
      <c r="BF6" s="32">
        <v>223.96874785709301</v>
      </c>
      <c r="BG6" s="32">
        <v>0.54483460905414904</v>
      </c>
      <c r="BH6" s="32">
        <v>5.2111204312517296</v>
      </c>
      <c r="BI6" s="32">
        <v>1936.17890667749</v>
      </c>
      <c r="BJ6" s="32">
        <v>920.38394105211898</v>
      </c>
      <c r="BK6" s="32">
        <v>691.45973218916095</v>
      </c>
      <c r="BL6" s="32">
        <v>1.8679924591629801E-2</v>
      </c>
      <c r="BM6" s="32">
        <v>0.45415611343663698</v>
      </c>
      <c r="BN6" s="32">
        <v>2730.2882063802299</v>
      </c>
      <c r="BO6" s="32">
        <v>2015.70904264092</v>
      </c>
      <c r="BP6" s="32">
        <v>1721.1212132258399</v>
      </c>
      <c r="BQ6" s="32">
        <v>7.0376280300541397E-2</v>
      </c>
      <c r="BR6" s="32">
        <v>0.54438194833948905</v>
      </c>
      <c r="BS6" s="32">
        <v>10071.5609999999</v>
      </c>
      <c r="BT6" s="32">
        <v>10.1198918330543</v>
      </c>
      <c r="BU6" s="32">
        <v>-92.102062580569097</v>
      </c>
      <c r="BV6" s="32">
        <v>19.037037719107399</v>
      </c>
      <c r="BW6" s="32">
        <v>229.85999999999899</v>
      </c>
      <c r="BX6" s="32">
        <v>230.95999999999901</v>
      </c>
      <c r="BY6" s="32">
        <v>233.52999999999901</v>
      </c>
      <c r="BZ6" s="32">
        <v>245.92</v>
      </c>
      <c r="CA6" s="32">
        <v>0.94325484808901405</v>
      </c>
      <c r="CB6" s="32">
        <v>-529.66571428571399</v>
      </c>
      <c r="CC6" s="32">
        <v>104.46</v>
      </c>
      <c r="CD6" s="32">
        <v>28211.299999999901</v>
      </c>
      <c r="CE6" s="32">
        <v>0.57085062911183504</v>
      </c>
      <c r="CF6" s="32">
        <v>1.0956862788650801</v>
      </c>
      <c r="CG6" s="32">
        <v>1.1058094741931701</v>
      </c>
      <c r="CH6" s="32">
        <v>116.46805772796699</v>
      </c>
      <c r="CI6" s="32">
        <v>94.688658983081297</v>
      </c>
      <c r="CJ6" s="32">
        <v>145.237667390925</v>
      </c>
      <c r="CK6" s="32">
        <v>247.18</v>
      </c>
      <c r="CL6" s="32">
        <v>246.904</v>
      </c>
      <c r="CM6" s="32">
        <v>239.65</v>
      </c>
      <c r="CN6" s="32">
        <v>242.1</v>
      </c>
      <c r="CO6" s="32">
        <v>236.46799999999999</v>
      </c>
      <c r="CP6" s="32">
        <v>238.01999999999899</v>
      </c>
      <c r="CQ6" s="32">
        <v>3478.81</v>
      </c>
      <c r="CR6" s="32">
        <v>239.83</v>
      </c>
      <c r="CS6" s="32">
        <v>1</v>
      </c>
      <c r="CT6" s="32">
        <v>95.919970512800901</v>
      </c>
      <c r="CU6" s="32">
        <v>8.8479480187397194E-2</v>
      </c>
      <c r="CV6" s="32">
        <v>0.99274796623588002</v>
      </c>
      <c r="CW6" s="32">
        <v>8.1380938310459297E-2</v>
      </c>
      <c r="CX6" s="32">
        <v>524.72915202756599</v>
      </c>
      <c r="CY6" s="32">
        <v>-6.5379999999999896</v>
      </c>
      <c r="CZ6" s="32">
        <v>4951.6499999999996</v>
      </c>
      <c r="DA6" s="32">
        <v>14.6489999999999</v>
      </c>
      <c r="DB6" s="33">
        <v>4.7481632362617497E-11</v>
      </c>
      <c r="DC6" s="33">
        <v>5.2689397981583002E-5</v>
      </c>
      <c r="DD6" s="32">
        <v>54.35</v>
      </c>
      <c r="DE6" s="32">
        <v>3</v>
      </c>
      <c r="DF6" s="32">
        <v>457.5</v>
      </c>
      <c r="DG6" s="32">
        <v>580.5</v>
      </c>
      <c r="DH6" s="32">
        <v>455.599999999999</v>
      </c>
      <c r="DI6" s="32">
        <v>481.29999999999899</v>
      </c>
      <c r="DJ6" s="32">
        <v>28.303132946002499</v>
      </c>
      <c r="DK6" s="32">
        <v>0.215245424836362</v>
      </c>
      <c r="DL6" s="32">
        <v>2.0675124607529699E-4</v>
      </c>
      <c r="DM6" s="32">
        <v>0.97655996453926697</v>
      </c>
      <c r="DN6" s="32">
        <v>79.009999999999806</v>
      </c>
      <c r="DO6" s="32">
        <v>130.74299999999999</v>
      </c>
      <c r="DP6" s="32">
        <v>2.6</v>
      </c>
      <c r="DQ6" s="32">
        <v>72.06</v>
      </c>
      <c r="DR6" s="32">
        <v>36.229999999999897</v>
      </c>
      <c r="DS6" s="32">
        <v>108.32</v>
      </c>
      <c r="DT6" s="32">
        <v>-14.4399999999999</v>
      </c>
      <c r="DU6" s="32">
        <v>-64.299999999999898</v>
      </c>
      <c r="DV6" s="32">
        <v>382.599999999999</v>
      </c>
      <c r="DW6" s="32">
        <v>43.769999999999897</v>
      </c>
      <c r="DX6" s="32">
        <v>27.47</v>
      </c>
      <c r="DY6" s="32">
        <v>404.19999999999902</v>
      </c>
      <c r="DZ6" s="32">
        <v>-5.0999999999999899</v>
      </c>
      <c r="EA6" s="32">
        <v>19.399999999999999</v>
      </c>
      <c r="EB6" s="32">
        <v>3062.4</v>
      </c>
      <c r="EC6" s="32">
        <v>1309.77</v>
      </c>
      <c r="ED6" s="32">
        <v>229.29</v>
      </c>
      <c r="EE6" s="32">
        <v>1117.7</v>
      </c>
      <c r="EF6" s="32">
        <v>174.069999999999</v>
      </c>
      <c r="EG6" s="32">
        <v>-53.51</v>
      </c>
      <c r="EH6" s="32">
        <v>-18.46</v>
      </c>
      <c r="EI6" s="32">
        <v>68.539999999999907</v>
      </c>
      <c r="EJ6" s="32">
        <v>-64.050000000000097</v>
      </c>
      <c r="EK6" s="32">
        <v>-709.51999999999896</v>
      </c>
      <c r="EL6" s="32">
        <v>536.25910290005902</v>
      </c>
      <c r="EM6" s="32">
        <v>307.68099649044899</v>
      </c>
      <c r="EN6" s="32">
        <v>0.79424697887696805</v>
      </c>
      <c r="EO6" s="32">
        <v>0.65829424841734097</v>
      </c>
      <c r="EP6" s="32">
        <v>0.75996781557793802</v>
      </c>
      <c r="EQ6" s="32">
        <v>1E-3</v>
      </c>
      <c r="ER6" s="32">
        <v>115.853244229903</v>
      </c>
      <c r="ES6" s="32">
        <v>639.253930002929</v>
      </c>
      <c r="ET6" s="32">
        <v>1174.4619094483</v>
      </c>
      <c r="EU6" s="32">
        <v>199.435297679325</v>
      </c>
      <c r="EV6" s="32">
        <v>560.719496795434</v>
      </c>
      <c r="EW6" s="32">
        <v>1001.39415138162</v>
      </c>
      <c r="EX6" s="32">
        <v>29190</v>
      </c>
      <c r="EY6" s="32">
        <v>24.963595319997701</v>
      </c>
      <c r="EZ6" s="32">
        <v>5.6600394248962402</v>
      </c>
      <c r="FA6" s="32">
        <v>5.9419627189636204</v>
      </c>
      <c r="FB6" s="32">
        <v>12</v>
      </c>
      <c r="FC6" s="32">
        <v>0</v>
      </c>
      <c r="FD6" s="32">
        <v>0</v>
      </c>
      <c r="FE6" s="32">
        <v>19</v>
      </c>
      <c r="FF6" s="32">
        <v>2</v>
      </c>
      <c r="FG6" s="32">
        <v>1</v>
      </c>
      <c r="FH6" s="32">
        <v>17</v>
      </c>
      <c r="FI6" s="32">
        <v>2</v>
      </c>
      <c r="FJ6" s="32">
        <v>1</v>
      </c>
      <c r="FK6" s="32">
        <v>167</v>
      </c>
      <c r="FL6" s="32">
        <v>948</v>
      </c>
      <c r="FM6" s="32">
        <v>850</v>
      </c>
      <c r="FN6" s="32">
        <v>245.409999999999</v>
      </c>
      <c r="FO6" s="32">
        <v>1408.7</v>
      </c>
      <c r="FP6" s="32">
        <v>1644.1</v>
      </c>
      <c r="FQ6" s="32">
        <v>1962.9</v>
      </c>
      <c r="FR6" s="32">
        <v>1872.03</v>
      </c>
      <c r="FS6" s="32">
        <v>17.087635020020699</v>
      </c>
      <c r="FT6" s="32">
        <v>152.60999999999899</v>
      </c>
      <c r="FU6" s="32">
        <v>21254</v>
      </c>
      <c r="FV6" s="32">
        <v>3457.91</v>
      </c>
      <c r="FW6" s="32">
        <v>18607</v>
      </c>
      <c r="FX6" s="33">
        <v>2.1825819691638101E-13</v>
      </c>
      <c r="FY6" s="32">
        <v>797.83036830532296</v>
      </c>
      <c r="FZ6" s="32">
        <v>1971.2322238260399</v>
      </c>
      <c r="GA6" s="32">
        <v>2730.2882063802299</v>
      </c>
      <c r="GB6" s="32">
        <v>1397.6166927356001</v>
      </c>
      <c r="GC6" s="32">
        <v>1799.08452067854</v>
      </c>
      <c r="GD6" s="32">
        <v>2469.0403456457302</v>
      </c>
      <c r="GE6" s="32">
        <v>245.38999999999899</v>
      </c>
      <c r="GF6" s="32">
        <v>198.66900000000001</v>
      </c>
      <c r="GG6" s="32">
        <v>184.71799999999999</v>
      </c>
      <c r="GH6" s="32">
        <v>328.66699999999997</v>
      </c>
      <c r="GI6" s="32">
        <v>4584.2259999999997</v>
      </c>
      <c r="GJ6" s="32">
        <v>4425.87</v>
      </c>
      <c r="GK6" s="32">
        <v>5487.335</v>
      </c>
      <c r="GL6" s="32">
        <v>385.16899999999998</v>
      </c>
      <c r="GM6" s="32">
        <v>188.136</v>
      </c>
      <c r="GN6" s="32">
        <v>708.79899999999998</v>
      </c>
      <c r="GO6" s="32">
        <v>-60.099999999999902</v>
      </c>
      <c r="GP6" s="32">
        <v>4754.8400149999998</v>
      </c>
      <c r="GQ6" s="32">
        <v>47412.662965859803</v>
      </c>
      <c r="GR6" s="32">
        <v>2.7887474789914801</v>
      </c>
      <c r="GS6" s="32">
        <v>-1.96822050559358</v>
      </c>
      <c r="GT6" s="32">
        <v>10.2144521299949</v>
      </c>
      <c r="GU6" s="32">
        <v>9.1645767752232992</v>
      </c>
      <c r="GV6" s="32">
        <v>9.0597668348779798</v>
      </c>
    </row>
    <row r="7" spans="1:204" x14ac:dyDescent="0.25">
      <c r="A7" s="27" t="s">
        <v>197</v>
      </c>
      <c r="B7" s="28" t="s">
        <v>197</v>
      </c>
      <c r="C7" s="28">
        <v>0.2</v>
      </c>
      <c r="D7" s="28">
        <v>0.17</v>
      </c>
      <c r="E7" s="28"/>
      <c r="F7" s="28" t="s">
        <v>197</v>
      </c>
      <c r="G7" s="28">
        <v>0.45</v>
      </c>
      <c r="H7" s="28">
        <v>0.38</v>
      </c>
      <c r="I7" s="28">
        <v>0.27</v>
      </c>
      <c r="J7" s="29" t="s">
        <v>197</v>
      </c>
      <c r="K7" s="30">
        <v>0.2</v>
      </c>
      <c r="L7" s="30">
        <v>0.18</v>
      </c>
      <c r="M7" s="30">
        <v>0.12</v>
      </c>
      <c r="N7" s="41" t="s">
        <v>198</v>
      </c>
      <c r="O7" s="30">
        <v>0.46</v>
      </c>
      <c r="P7" s="30">
        <v>0.46</v>
      </c>
      <c r="Q7" s="30">
        <v>0.45</v>
      </c>
      <c r="R7" s="29" t="s">
        <v>197</v>
      </c>
      <c r="S7" s="31">
        <v>0.63</v>
      </c>
      <c r="T7" s="31">
        <v>0.25</v>
      </c>
      <c r="U7" s="31">
        <v>0.26</v>
      </c>
      <c r="V7" s="31" t="s">
        <v>197</v>
      </c>
      <c r="W7" s="31">
        <v>0.45</v>
      </c>
      <c r="X7" s="31">
        <v>0.2</v>
      </c>
      <c r="Y7" s="31">
        <v>0.21</v>
      </c>
      <c r="Z7" s="29" t="s">
        <v>197</v>
      </c>
      <c r="AA7" s="29">
        <v>0.45</v>
      </c>
      <c r="AB7" s="29">
        <v>0.45</v>
      </c>
      <c r="AC7" s="29">
        <v>0.45</v>
      </c>
      <c r="AD7" s="28" t="s">
        <v>197</v>
      </c>
      <c r="AE7" s="28">
        <v>0.2</v>
      </c>
      <c r="AF7" s="28">
        <v>0.18</v>
      </c>
      <c r="AG7" s="28">
        <v>0.16</v>
      </c>
      <c r="AH7" s="28" t="s">
        <v>197</v>
      </c>
      <c r="AI7" s="28">
        <v>0.46</v>
      </c>
      <c r="AJ7" s="28">
        <v>0.44</v>
      </c>
      <c r="AK7" s="28">
        <v>0.42</v>
      </c>
      <c r="AL7" s="32" t="s">
        <v>197</v>
      </c>
      <c r="AM7" s="32">
        <v>9</v>
      </c>
      <c r="AN7" s="32">
        <v>5.5616326530612201E-2</v>
      </c>
      <c r="AO7" s="32">
        <v>1451.19999999999</v>
      </c>
      <c r="AP7" s="32">
        <v>1443.4399999999901</v>
      </c>
      <c r="AQ7" s="32">
        <v>245.045999999999</v>
      </c>
      <c r="AR7" s="32">
        <v>113.083723848128</v>
      </c>
      <c r="AS7" s="32">
        <v>13.146000000000001</v>
      </c>
      <c r="AT7" s="32">
        <v>48.258799999999901</v>
      </c>
      <c r="AU7" s="32">
        <v>1.63251741463784E-2</v>
      </c>
      <c r="AV7" s="32">
        <v>-501.53447619047603</v>
      </c>
      <c r="AW7" s="32">
        <v>446.67485347331899</v>
      </c>
      <c r="AX7" s="32">
        <v>6.0000000000012896</v>
      </c>
      <c r="AY7" s="32">
        <v>5.0259074907738604E-3</v>
      </c>
      <c r="AZ7" s="32">
        <v>1.96792576022022E-2</v>
      </c>
      <c r="BA7" s="32">
        <v>3.3294239807988998E-2</v>
      </c>
      <c r="BB7" s="32">
        <v>0.44294809993715401</v>
      </c>
      <c r="BC7" s="32">
        <v>677.327828137545</v>
      </c>
      <c r="BD7" s="32">
        <v>892.22462209276898</v>
      </c>
      <c r="BE7" s="32">
        <v>672.83159513919702</v>
      </c>
      <c r="BF7" s="32">
        <v>340.33310928302598</v>
      </c>
      <c r="BG7" s="32">
        <v>0.55705190006284899</v>
      </c>
      <c r="BH7" s="32">
        <v>35.366554798619902</v>
      </c>
      <c r="BI7" s="32">
        <v>1922.2593937414099</v>
      </c>
      <c r="BJ7" s="32">
        <v>817.418794054866</v>
      </c>
      <c r="BK7" s="32">
        <v>519.51762498711901</v>
      </c>
      <c r="BL7" s="32">
        <v>1.8471103147209001E-2</v>
      </c>
      <c r="BM7" s="32">
        <v>0.446207230782321</v>
      </c>
      <c r="BN7" s="32">
        <v>2893.67288340801</v>
      </c>
      <c r="BO7" s="32">
        <v>1980.6660763269499</v>
      </c>
      <c r="BP7" s="32">
        <v>1682.0088648369899</v>
      </c>
      <c r="BQ7" s="32">
        <v>6.7717099507985795E-2</v>
      </c>
      <c r="BR7" s="32">
        <v>0.55379276921768195</v>
      </c>
      <c r="BS7" s="32">
        <v>10636.8849999999</v>
      </c>
      <c r="BT7" s="32">
        <v>20.249451955292201</v>
      </c>
      <c r="BU7" s="32">
        <v>-96.640637945318701</v>
      </c>
      <c r="BV7" s="32">
        <v>19.5825363948396</v>
      </c>
      <c r="BW7" s="32">
        <v>235.659999999999</v>
      </c>
      <c r="BX7" s="32">
        <v>236.96499999999901</v>
      </c>
      <c r="BY7" s="32">
        <v>239.70999999999901</v>
      </c>
      <c r="BZ7" s="32">
        <v>252.42</v>
      </c>
      <c r="CA7" s="32">
        <v>1.9166351477397301</v>
      </c>
      <c r="CB7" s="32">
        <v>-501.53447619047603</v>
      </c>
      <c r="CC7" s="32">
        <v>107.82</v>
      </c>
      <c r="CD7" s="32">
        <v>28981.499999999902</v>
      </c>
      <c r="CE7" s="32">
        <v>0.58116983592779403</v>
      </c>
      <c r="CF7" s="32">
        <v>1.07482058717725</v>
      </c>
      <c r="CG7" s="32">
        <v>1.0924796394392999</v>
      </c>
      <c r="CH7" s="32">
        <v>128.697948031799</v>
      </c>
      <c r="CI7" s="32">
        <v>83.708048626083297</v>
      </c>
      <c r="CJ7" s="32">
        <v>165.88599677008301</v>
      </c>
      <c r="CK7" s="32">
        <v>253.74</v>
      </c>
      <c r="CL7" s="32">
        <v>253.423</v>
      </c>
      <c r="CM7" s="32">
        <v>246.45</v>
      </c>
      <c r="CN7" s="32">
        <v>250.58</v>
      </c>
      <c r="CO7" s="32">
        <v>244.85300000000001</v>
      </c>
      <c r="CP7" s="32">
        <v>246.07999999999899</v>
      </c>
      <c r="CQ7" s="32">
        <v>3565.42</v>
      </c>
      <c r="CR7" s="32">
        <v>247.35900000000001</v>
      </c>
      <c r="CS7" s="32">
        <v>1</v>
      </c>
      <c r="CT7" s="32">
        <v>95.919970512800901</v>
      </c>
      <c r="CU7" s="32">
        <v>0.74318196530840896</v>
      </c>
      <c r="CV7" s="32">
        <v>0.27102080062971301</v>
      </c>
      <c r="CW7" s="32">
        <v>0.61174201430534303</v>
      </c>
      <c r="CX7" s="32">
        <v>446.67485347331899</v>
      </c>
      <c r="CY7" s="32">
        <v>-6.3119999999999896</v>
      </c>
      <c r="CZ7" s="32">
        <v>5089.83</v>
      </c>
      <c r="DA7" s="32">
        <v>15.4169999999999</v>
      </c>
      <c r="DB7" s="33">
        <v>4.8024691607816999E-11</v>
      </c>
      <c r="DC7" s="32">
        <v>1.05433036261978E-4</v>
      </c>
      <c r="DD7" s="32">
        <v>53.46</v>
      </c>
      <c r="DE7" s="32">
        <v>6</v>
      </c>
      <c r="DF7" s="32">
        <v>455</v>
      </c>
      <c r="DG7" s="32">
        <v>582.6</v>
      </c>
      <c r="DH7" s="32">
        <v>462.8</v>
      </c>
      <c r="DI7" s="32">
        <v>496.79999999999899</v>
      </c>
      <c r="DJ7" s="32">
        <v>28.626842920778699</v>
      </c>
      <c r="DK7" s="32">
        <v>0.77529790984470903</v>
      </c>
      <c r="DL7" s="32">
        <v>0.574771605913033</v>
      </c>
      <c r="DM7" s="32">
        <v>0.26182198537666201</v>
      </c>
      <c r="DN7" s="32">
        <v>75.639999999999802</v>
      </c>
      <c r="DO7" s="32">
        <v>133.59100000000001</v>
      </c>
      <c r="DP7" s="32">
        <v>4.47</v>
      </c>
      <c r="DQ7" s="32">
        <v>73.67</v>
      </c>
      <c r="DR7" s="32">
        <v>34.049999999999997</v>
      </c>
      <c r="DS7" s="32">
        <v>108.59</v>
      </c>
      <c r="DT7" s="32">
        <v>-11.7899999999999</v>
      </c>
      <c r="DU7" s="32">
        <v>-62.699999999999903</v>
      </c>
      <c r="DV7" s="32">
        <v>408.5</v>
      </c>
      <c r="DW7" s="32">
        <v>41.439999999999898</v>
      </c>
      <c r="DX7" s="32">
        <v>25.25</v>
      </c>
      <c r="DY7" s="32">
        <v>407.29999999999899</v>
      </c>
      <c r="DZ7" s="32">
        <v>-6.5999999999999899</v>
      </c>
      <c r="EA7" s="32">
        <v>12.5</v>
      </c>
      <c r="EB7" s="32">
        <v>3147.02</v>
      </c>
      <c r="EC7" s="32">
        <v>1343.28</v>
      </c>
      <c r="ED7" s="32">
        <v>235.35</v>
      </c>
      <c r="EE7" s="32">
        <v>1144.0999999999999</v>
      </c>
      <c r="EF7" s="32">
        <v>178.92999999999901</v>
      </c>
      <c r="EG7" s="32">
        <v>-61.03</v>
      </c>
      <c r="EH7" s="32">
        <v>-20.8</v>
      </c>
      <c r="EI7" s="32">
        <v>66.829999999999899</v>
      </c>
      <c r="EJ7" s="32">
        <v>-66.300000000000097</v>
      </c>
      <c r="EK7" s="32">
        <v>-749.44999999999902</v>
      </c>
      <c r="EL7" s="32">
        <v>677.327828137545</v>
      </c>
      <c r="EM7" s="32">
        <v>384.73658276549702</v>
      </c>
      <c r="EN7" s="32">
        <v>0.76832176873737301</v>
      </c>
      <c r="EO7" s="32">
        <v>0.75073412185932198</v>
      </c>
      <c r="EP7" s="32">
        <v>0.82797949928654602</v>
      </c>
      <c r="EQ7" s="32">
        <v>1E-3</v>
      </c>
      <c r="ER7" s="32">
        <v>136.69505082330201</v>
      </c>
      <c r="ES7" s="32">
        <v>409.08907107136298</v>
      </c>
      <c r="ET7" s="32">
        <v>847.64658506802198</v>
      </c>
      <c r="EU7" s="32">
        <v>209.670039827848</v>
      </c>
      <c r="EV7" s="32">
        <v>366.84181869694299</v>
      </c>
      <c r="EW7" s="32">
        <v>818.82393395840995</v>
      </c>
      <c r="EX7" s="32">
        <v>30032</v>
      </c>
      <c r="EY7" s="32">
        <v>25.662357779997599</v>
      </c>
      <c r="EZ7" s="32">
        <v>5.6751847267150799</v>
      </c>
      <c r="FA7" s="32">
        <v>6.8337116241454998</v>
      </c>
      <c r="FB7" s="32">
        <v>12</v>
      </c>
      <c r="FC7" s="32">
        <v>0</v>
      </c>
      <c r="FD7" s="32">
        <v>0</v>
      </c>
      <c r="FE7" s="32">
        <v>22</v>
      </c>
      <c r="FF7" s="32">
        <v>2</v>
      </c>
      <c r="FG7" s="32">
        <v>0</v>
      </c>
      <c r="FH7" s="32">
        <v>16</v>
      </c>
      <c r="FI7" s="32">
        <v>3</v>
      </c>
      <c r="FJ7" s="32">
        <v>2</v>
      </c>
      <c r="FK7" s="32">
        <v>169</v>
      </c>
      <c r="FL7" s="32">
        <v>546</v>
      </c>
      <c r="FM7" s="32">
        <v>884</v>
      </c>
      <c r="FN7" s="32">
        <v>250.82999999999899</v>
      </c>
      <c r="FO7" s="32">
        <v>1457.2</v>
      </c>
      <c r="FP7" s="32">
        <v>1691.9</v>
      </c>
      <c r="FQ7" s="32">
        <v>2025.9</v>
      </c>
      <c r="FR7" s="32">
        <v>1932.54</v>
      </c>
      <c r="FS7" s="32">
        <v>17.351574297812999</v>
      </c>
      <c r="FT7" s="32">
        <v>158.879999999999</v>
      </c>
      <c r="FU7" s="32">
        <v>21919</v>
      </c>
      <c r="FV7" s="32">
        <v>3540.34</v>
      </c>
      <c r="FW7" s="32">
        <v>19232</v>
      </c>
      <c r="FX7" s="33">
        <v>2.21830389251478E-13</v>
      </c>
      <c r="FY7" s="32">
        <v>897.544384102614</v>
      </c>
      <c r="FZ7" s="32">
        <v>1979.3649474664801</v>
      </c>
      <c r="GA7" s="32">
        <v>2899.6331830305498</v>
      </c>
      <c r="GB7" s="32">
        <v>1544.3753763815901</v>
      </c>
      <c r="GC7" s="32">
        <v>1841.5770697738301</v>
      </c>
      <c r="GD7" s="32">
        <v>2654.17594832132</v>
      </c>
      <c r="GE7" s="32">
        <v>251.58999999999901</v>
      </c>
      <c r="GF7" s="32">
        <v>209.32599999999999</v>
      </c>
      <c r="GG7" s="32">
        <v>173.64899999999901</v>
      </c>
      <c r="GH7" s="32">
        <v>354.14699999999999</v>
      </c>
      <c r="GI7" s="32">
        <v>4711.5879999999997</v>
      </c>
      <c r="GJ7" s="32">
        <v>4542.9089999999997</v>
      </c>
      <c r="GK7" s="32">
        <v>5925.2969999999996</v>
      </c>
      <c r="GL7" s="32">
        <v>412.69299999999998</v>
      </c>
      <c r="GM7" s="32">
        <v>196.47499999999999</v>
      </c>
      <c r="GN7" s="32">
        <v>720.29899999999998</v>
      </c>
      <c r="GO7" s="32">
        <v>-64.039999999999907</v>
      </c>
      <c r="GP7" s="32">
        <v>5005.5401966666705</v>
      </c>
      <c r="GQ7" s="32">
        <v>48670.141370941099</v>
      </c>
      <c r="GR7" s="32">
        <v>2.6332110204080501</v>
      </c>
      <c r="GS7" s="32">
        <v>-2.1072033883976502</v>
      </c>
      <c r="GT7" s="32">
        <v>20.4384923644214</v>
      </c>
      <c r="GU7" s="32">
        <v>9.6588924686069593</v>
      </c>
      <c r="GV7" s="32">
        <v>9.5279424697692008</v>
      </c>
    </row>
    <row r="8" spans="1:204" x14ac:dyDescent="0.25">
      <c r="A8" s="27" t="s">
        <v>199</v>
      </c>
      <c r="B8" s="28" t="s">
        <v>199</v>
      </c>
      <c r="C8" s="28">
        <v>0.32</v>
      </c>
      <c r="D8" s="28">
        <v>0.3</v>
      </c>
      <c r="E8" s="28">
        <v>0.24</v>
      </c>
      <c r="F8" s="28" t="s">
        <v>199</v>
      </c>
      <c r="G8" s="28">
        <v>1.1599999999999999</v>
      </c>
      <c r="H8" s="28">
        <v>1.01</v>
      </c>
      <c r="I8" s="28">
        <v>0.83</v>
      </c>
      <c r="J8" s="29" t="s">
        <v>199</v>
      </c>
      <c r="K8" s="30">
        <v>0.32</v>
      </c>
      <c r="L8" s="30">
        <v>0.31</v>
      </c>
      <c r="M8" s="30">
        <v>0.25</v>
      </c>
      <c r="N8" s="41" t="s">
        <v>199</v>
      </c>
      <c r="O8" s="30">
        <v>1.1599999999999999</v>
      </c>
      <c r="P8" s="30">
        <v>1.1100000000000001</v>
      </c>
      <c r="Q8" s="30">
        <v>1.02</v>
      </c>
      <c r="R8" s="29" t="s">
        <v>199</v>
      </c>
      <c r="S8" s="31">
        <v>1.4</v>
      </c>
      <c r="T8" s="31">
        <v>0.37</v>
      </c>
      <c r="U8" s="31">
        <v>0.42</v>
      </c>
      <c r="V8" s="29" t="s">
        <v>199</v>
      </c>
      <c r="W8" s="29">
        <v>1.1599999999999999</v>
      </c>
      <c r="X8" s="29">
        <v>0.31</v>
      </c>
      <c r="Y8" s="29">
        <v>0.38</v>
      </c>
      <c r="Z8" s="29" t="s">
        <v>199</v>
      </c>
      <c r="AA8" s="29">
        <v>1.1599999999999999</v>
      </c>
      <c r="AB8" s="29">
        <v>0.93</v>
      </c>
      <c r="AC8" s="29">
        <v>0.8</v>
      </c>
      <c r="AD8" s="28" t="s">
        <v>199</v>
      </c>
      <c r="AE8" s="28">
        <v>0.32</v>
      </c>
      <c r="AF8" s="28">
        <v>0.32</v>
      </c>
      <c r="AG8" s="28">
        <v>0.28999999999999998</v>
      </c>
      <c r="AH8" s="28" t="s">
        <v>199</v>
      </c>
      <c r="AI8" s="28">
        <v>1.18</v>
      </c>
      <c r="AJ8" s="28">
        <v>1.1000000000000001</v>
      </c>
      <c r="AK8" s="28">
        <v>1.06</v>
      </c>
      <c r="AL8" s="32" t="s">
        <v>199</v>
      </c>
      <c r="AM8" s="32">
        <v>2</v>
      </c>
      <c r="AN8" s="32">
        <v>-6.3839285714285696E-2</v>
      </c>
      <c r="AO8" s="32">
        <v>295.39999999999901</v>
      </c>
      <c r="AP8" s="32">
        <v>290.89999999999998</v>
      </c>
      <c r="AQ8" s="32">
        <v>55.948999999999998</v>
      </c>
      <c r="AR8" s="32">
        <v>44.000480548983397</v>
      </c>
      <c r="AS8" s="32">
        <v>-3.9011999999999998</v>
      </c>
      <c r="AT8" s="32">
        <v>8.8407999999999998</v>
      </c>
      <c r="AU8" s="32">
        <v>6.5038482336644502E-3</v>
      </c>
      <c r="AV8" s="32">
        <v>-82.143142857142806</v>
      </c>
      <c r="AW8" s="32">
        <v>230.506050588211</v>
      </c>
      <c r="AX8" s="32">
        <v>6.0000000000001998</v>
      </c>
      <c r="AY8" s="32">
        <v>1.53500218267941E-2</v>
      </c>
      <c r="AZ8" s="32">
        <v>2.1851060291761201E-2</v>
      </c>
      <c r="BA8" s="32">
        <v>2.8821330129175201E-2</v>
      </c>
      <c r="BB8" s="32">
        <v>0.44175719869126001</v>
      </c>
      <c r="BC8" s="32">
        <v>163.95908706297701</v>
      </c>
      <c r="BD8" s="32">
        <v>383.373610147747</v>
      </c>
      <c r="BE8" s="32">
        <v>301.45659518856797</v>
      </c>
      <c r="BF8" s="32">
        <v>69.799432479044</v>
      </c>
      <c r="BG8" s="32">
        <v>0.55824280130873905</v>
      </c>
      <c r="BH8" s="32">
        <v>0.17534205374498399</v>
      </c>
      <c r="BI8" s="32">
        <v>431.21177976740302</v>
      </c>
      <c r="BJ8" s="32">
        <v>267.73133826482598</v>
      </c>
      <c r="BK8" s="32">
        <v>234.614536345555</v>
      </c>
      <c r="BL8" s="32">
        <v>2.4201304090282399E-2</v>
      </c>
      <c r="BM8" s="32">
        <v>0.44787713034746801</v>
      </c>
      <c r="BN8" s="32">
        <v>1424.9688863219999</v>
      </c>
      <c r="BO8" s="32">
        <v>1153.9464092964599</v>
      </c>
      <c r="BP8" s="32">
        <v>1119.9729656601301</v>
      </c>
      <c r="BQ8" s="32">
        <v>0.101246438937468</v>
      </c>
      <c r="BR8" s="32">
        <v>0.54781523880607297</v>
      </c>
      <c r="BS8" s="32">
        <v>3914.913</v>
      </c>
      <c r="BT8" s="32">
        <v>20.0725681468186</v>
      </c>
      <c r="BU8" s="32">
        <v>-22.453530377668301</v>
      </c>
      <c r="BV8" s="32">
        <v>20.559934318555001</v>
      </c>
      <c r="BW8" s="32">
        <v>52.74</v>
      </c>
      <c r="BX8" s="32">
        <v>55.979999999999897</v>
      </c>
      <c r="BY8" s="32">
        <v>54.959999999999901</v>
      </c>
      <c r="BZ8" s="32">
        <v>55.35</v>
      </c>
      <c r="CA8" s="32">
        <v>1.30064433416258</v>
      </c>
      <c r="CB8" s="32">
        <v>-82.143142857142905</v>
      </c>
      <c r="CC8" s="32">
        <v>24.69</v>
      </c>
      <c r="CD8" s="32">
        <v>7051</v>
      </c>
      <c r="CE8" s="32">
        <v>0.56145992924466204</v>
      </c>
      <c r="CF8" s="32">
        <v>1.11891605843858</v>
      </c>
      <c r="CG8" s="32">
        <v>1.13070021377916</v>
      </c>
      <c r="CH8" s="32">
        <v>170.703905202773</v>
      </c>
      <c r="CI8" s="32">
        <v>49.192875076238202</v>
      </c>
      <c r="CJ8" s="32">
        <v>210.04224770880299</v>
      </c>
      <c r="CK8" s="32">
        <v>55.639999999999901</v>
      </c>
      <c r="CL8" s="32">
        <v>53.186</v>
      </c>
      <c r="CM8" s="32">
        <v>53.4</v>
      </c>
      <c r="CN8" s="32">
        <v>58.61</v>
      </c>
      <c r="CO8" s="32">
        <v>57.627000000000002</v>
      </c>
      <c r="CP8" s="32">
        <v>57.35</v>
      </c>
      <c r="CQ8" s="32">
        <v>808.43</v>
      </c>
      <c r="CR8" s="32">
        <v>56.734999999999999</v>
      </c>
      <c r="CS8" s="32">
        <v>4.6908371826480798E-2</v>
      </c>
      <c r="CT8" s="32">
        <v>95.919970512800901</v>
      </c>
      <c r="CU8" s="32">
        <v>0.95942783495158201</v>
      </c>
      <c r="CV8" s="32">
        <v>0.27946002816489202</v>
      </c>
      <c r="CW8" s="32">
        <v>3.7420878907314499E-2</v>
      </c>
      <c r="CX8" s="32">
        <v>230.506050588211</v>
      </c>
      <c r="CY8" s="32">
        <v>-1.704</v>
      </c>
      <c r="CZ8" s="32">
        <v>1177.6899999999901</v>
      </c>
      <c r="DA8" s="32">
        <v>4.3650000000000002</v>
      </c>
      <c r="DB8" s="33">
        <v>3.2628390096857999E-11</v>
      </c>
      <c r="DC8" s="32">
        <v>1.04441246158184E-4</v>
      </c>
      <c r="DD8" s="32">
        <v>60.094000000000001</v>
      </c>
      <c r="DE8" s="32">
        <v>6</v>
      </c>
      <c r="DF8" s="32">
        <v>91.3</v>
      </c>
      <c r="DG8" s="32">
        <v>82.899999999999906</v>
      </c>
      <c r="DH8" s="32">
        <v>58.6</v>
      </c>
      <c r="DI8" s="32">
        <v>78.099999999999895</v>
      </c>
      <c r="DJ8" s="32">
        <v>19.449324228635099</v>
      </c>
      <c r="DK8" s="32">
        <v>0.51610672524541001</v>
      </c>
      <c r="DL8" s="32">
        <v>0.85525737509673205</v>
      </c>
      <c r="DM8" s="32">
        <v>4.6568986451346703E-2</v>
      </c>
      <c r="DN8" s="32">
        <v>7.8299999999999903</v>
      </c>
      <c r="DO8" s="32">
        <v>29.306000000000001</v>
      </c>
      <c r="DP8" s="32">
        <v>2.3199999999999998</v>
      </c>
      <c r="DQ8" s="32">
        <v>15.24</v>
      </c>
      <c r="DR8" s="32">
        <v>-7.86</v>
      </c>
      <c r="DS8" s="32">
        <v>19.999999999999901</v>
      </c>
      <c r="DT8" s="32">
        <v>3.15</v>
      </c>
      <c r="DU8" s="32">
        <v>4.2</v>
      </c>
      <c r="DV8" s="32">
        <v>101.8</v>
      </c>
      <c r="DW8" s="32">
        <v>4.6099999999999897</v>
      </c>
      <c r="DX8" s="32">
        <v>-1.03</v>
      </c>
      <c r="DY8" s="32">
        <v>107.9</v>
      </c>
      <c r="DZ8" s="32">
        <v>-10.1</v>
      </c>
      <c r="EA8" s="32">
        <v>-29.1999999999999</v>
      </c>
      <c r="EB8" s="32">
        <v>714.74</v>
      </c>
      <c r="EC8" s="32">
        <v>306.89</v>
      </c>
      <c r="ED8" s="32">
        <v>47.75</v>
      </c>
      <c r="EE8" s="32">
        <v>230.79999999999899</v>
      </c>
      <c r="EF8" s="32">
        <v>40.719999999999899</v>
      </c>
      <c r="EG8" s="32">
        <v>-27.579999999999899</v>
      </c>
      <c r="EH8" s="32">
        <v>-1.4</v>
      </c>
      <c r="EI8" s="32">
        <v>-4.5799999999999903</v>
      </c>
      <c r="EJ8" s="32">
        <v>-18.639999999999901</v>
      </c>
      <c r="EK8" s="32">
        <v>-261.92</v>
      </c>
      <c r="EL8" s="32">
        <v>163.95908706297701</v>
      </c>
      <c r="EM8" s="32">
        <v>137.281519979927</v>
      </c>
      <c r="EN8" s="32">
        <v>5.9510825042129498E-2</v>
      </c>
      <c r="EO8" s="32">
        <v>8.9980527543031694E-2</v>
      </c>
      <c r="EP8" s="32">
        <v>0.100194273888257</v>
      </c>
      <c r="EQ8" s="32">
        <v>1E-3</v>
      </c>
      <c r="ER8" s="32">
        <v>157.31466157225799</v>
      </c>
      <c r="ES8" s="32">
        <v>125.306698639918</v>
      </c>
      <c r="ET8" s="32">
        <v>665.73461424940103</v>
      </c>
      <c r="EU8" s="32">
        <v>276.87989580190902</v>
      </c>
      <c r="EV8" s="32">
        <v>88.7080508076874</v>
      </c>
      <c r="EW8" s="32">
        <v>594.291420998322</v>
      </c>
      <c r="EX8" s="32">
        <v>7372</v>
      </c>
      <c r="EY8" s="32">
        <v>6.3734897499998402</v>
      </c>
      <c r="EZ8" s="32">
        <v>7.0336108207702601</v>
      </c>
      <c r="FA8" s="32">
        <v>7.0479974746704102</v>
      </c>
      <c r="FB8" s="32">
        <v>4</v>
      </c>
      <c r="FC8" s="32">
        <v>1</v>
      </c>
      <c r="FD8" s="32">
        <v>0</v>
      </c>
      <c r="FE8" s="32">
        <v>8</v>
      </c>
      <c r="FF8" s="32">
        <v>0</v>
      </c>
      <c r="FG8" s="32">
        <v>0</v>
      </c>
      <c r="FH8" s="32">
        <v>6</v>
      </c>
      <c r="FI8" s="32">
        <v>2</v>
      </c>
      <c r="FJ8" s="32">
        <v>1</v>
      </c>
      <c r="FK8" s="32">
        <v>35</v>
      </c>
      <c r="FL8" s="32">
        <v>131</v>
      </c>
      <c r="FM8" s="32">
        <v>179</v>
      </c>
      <c r="FN8" s="32">
        <v>50.48</v>
      </c>
      <c r="FO8" s="32">
        <v>292.49999999999898</v>
      </c>
      <c r="FP8" s="32">
        <v>284</v>
      </c>
      <c r="FQ8" s="32">
        <v>467</v>
      </c>
      <c r="FR8" s="32">
        <v>754.64</v>
      </c>
      <c r="FS8" s="32">
        <v>11.88673711411</v>
      </c>
      <c r="FT8" s="32">
        <v>40.809999999999903</v>
      </c>
      <c r="FU8" s="32">
        <v>4874</v>
      </c>
      <c r="FV8" s="32">
        <v>1035.4199999999901</v>
      </c>
      <c r="FW8" s="32">
        <v>3793</v>
      </c>
      <c r="FX8" s="33">
        <v>8.1090637778438504E-14</v>
      </c>
      <c r="FY8" s="32">
        <v>383.373610147747</v>
      </c>
      <c r="FZ8" s="32">
        <v>440.34158306852999</v>
      </c>
      <c r="GA8" s="32">
        <v>1424.9688863219999</v>
      </c>
      <c r="GB8" s="32">
        <v>682.81562081109496</v>
      </c>
      <c r="GC8" s="32">
        <v>393.54300060990499</v>
      </c>
      <c r="GD8" s="32">
        <v>1260.25348625282</v>
      </c>
      <c r="GE8" s="32">
        <v>54.04</v>
      </c>
      <c r="GF8" s="32">
        <v>85.545000000000002</v>
      </c>
      <c r="GG8" s="32">
        <v>25.462</v>
      </c>
      <c r="GH8" s="32">
        <v>112.833</v>
      </c>
      <c r="GI8" s="32">
        <v>1729.441</v>
      </c>
      <c r="GJ8" s="32">
        <v>1683.6780000000001</v>
      </c>
      <c r="GK8" s="32">
        <v>2185.4720000000002</v>
      </c>
      <c r="GL8" s="32">
        <v>166.349999999999</v>
      </c>
      <c r="GM8" s="32">
        <v>94.745999999999995</v>
      </c>
      <c r="GN8" s="32">
        <v>396.37099999999998</v>
      </c>
      <c r="GO8" s="32">
        <v>-36.079999999999899</v>
      </c>
      <c r="GP8" s="32">
        <v>1850.5146849999901</v>
      </c>
      <c r="GQ8" s="32">
        <v>11823.0949189778</v>
      </c>
      <c r="GR8" s="32">
        <v>0.10986071428569701</v>
      </c>
      <c r="GS8" s="32">
        <v>-1.9918201970443401</v>
      </c>
      <c r="GT8" s="32">
        <v>20.263093804845202</v>
      </c>
      <c r="GU8" s="32">
        <v>10.7346841513712</v>
      </c>
      <c r="GV8" s="32">
        <v>10.5860065544238</v>
      </c>
    </row>
    <row r="9" spans="1:204" x14ac:dyDescent="0.25">
      <c r="A9" s="27" t="s">
        <v>200</v>
      </c>
      <c r="B9" s="28" t="s">
        <v>200</v>
      </c>
      <c r="C9" s="28">
        <v>0.34</v>
      </c>
      <c r="D9" s="28">
        <v>0.32</v>
      </c>
      <c r="E9" s="28">
        <v>0.25</v>
      </c>
      <c r="F9" s="28" t="s">
        <v>200</v>
      </c>
      <c r="G9" s="28">
        <v>1.27</v>
      </c>
      <c r="H9" s="28">
        <v>1.01</v>
      </c>
      <c r="I9" s="28">
        <v>0.77</v>
      </c>
      <c r="J9" s="29" t="s">
        <v>200</v>
      </c>
      <c r="K9" s="30">
        <v>0.34</v>
      </c>
      <c r="L9" s="30">
        <v>0.32</v>
      </c>
      <c r="M9" s="30">
        <v>0.26</v>
      </c>
      <c r="N9" s="41" t="s">
        <v>200</v>
      </c>
      <c r="O9" s="30">
        <v>1.27</v>
      </c>
      <c r="P9" s="30">
        <v>1.1100000000000001</v>
      </c>
      <c r="Q9" s="30">
        <v>1.06</v>
      </c>
      <c r="R9" s="29" t="s">
        <v>200</v>
      </c>
      <c r="S9" s="31">
        <v>2</v>
      </c>
      <c r="T9" s="31">
        <v>0.41</v>
      </c>
      <c r="U9" s="31">
        <v>0.51</v>
      </c>
      <c r="V9" s="29" t="s">
        <v>200</v>
      </c>
      <c r="W9" s="29">
        <v>1.27</v>
      </c>
      <c r="X9" s="29">
        <v>0.34</v>
      </c>
      <c r="Y9" s="29">
        <v>0.41</v>
      </c>
      <c r="Z9" s="29" t="s">
        <v>200</v>
      </c>
      <c r="AA9" s="29">
        <v>1.27</v>
      </c>
      <c r="AB9" s="29">
        <v>1.05</v>
      </c>
      <c r="AC9" s="29">
        <v>0.91</v>
      </c>
      <c r="AD9" s="28" t="s">
        <v>200</v>
      </c>
      <c r="AE9" s="28">
        <v>0.34</v>
      </c>
      <c r="AF9" s="28">
        <v>0.33</v>
      </c>
      <c r="AG9" s="28">
        <v>0.31</v>
      </c>
      <c r="AH9" s="28" t="s">
        <v>200</v>
      </c>
      <c r="AI9" s="28">
        <v>1.28</v>
      </c>
      <c r="AJ9" s="28">
        <v>1.04</v>
      </c>
      <c r="AK9" s="28">
        <v>1.02</v>
      </c>
      <c r="AL9" s="32" t="s">
        <v>200</v>
      </c>
      <c r="AM9" s="32">
        <v>5</v>
      </c>
      <c r="AN9" s="32">
        <v>-6.5088709677419407E-2</v>
      </c>
      <c r="AO9" s="32">
        <v>704.49999999999898</v>
      </c>
      <c r="AP9" s="32">
        <v>700.68</v>
      </c>
      <c r="AQ9" s="32">
        <v>124.131</v>
      </c>
      <c r="AR9" s="32">
        <v>186.056869128659</v>
      </c>
      <c r="AS9" s="32">
        <v>-8.4673999999999996</v>
      </c>
      <c r="AT9" s="32">
        <v>19.9237999999999</v>
      </c>
      <c r="AU9" s="32">
        <v>2.0925479931391398E-2</v>
      </c>
      <c r="AV9" s="32">
        <v>-220.34047619047601</v>
      </c>
      <c r="AW9" s="32">
        <v>624.87254131529403</v>
      </c>
      <c r="AX9" s="32">
        <v>5.0000000000005702</v>
      </c>
      <c r="AY9" s="32">
        <v>5.1769411043944696E-3</v>
      </c>
      <c r="AZ9" s="32">
        <v>2.7413254972111799E-2</v>
      </c>
      <c r="BA9" s="32">
        <v>2.5843960566737701E-2</v>
      </c>
      <c r="BB9" s="32">
        <v>0.436441919784474</v>
      </c>
      <c r="BC9" s="32">
        <v>320.088267142669</v>
      </c>
      <c r="BD9" s="32">
        <v>933.02318165066401</v>
      </c>
      <c r="BE9" s="32">
        <v>758.69878177564499</v>
      </c>
      <c r="BF9" s="32">
        <v>515.08642586641702</v>
      </c>
      <c r="BG9" s="32">
        <v>0.563558080215527</v>
      </c>
      <c r="BH9" s="32">
        <v>3.2081285003617399</v>
      </c>
      <c r="BI9" s="32">
        <v>1546.2749276064301</v>
      </c>
      <c r="BJ9" s="32">
        <v>910.45445653566901</v>
      </c>
      <c r="BK9" s="32">
        <v>793.08537693168796</v>
      </c>
      <c r="BL9" s="32">
        <v>2.9369749177982799E-2</v>
      </c>
      <c r="BM9" s="32">
        <v>0.44360750924615899</v>
      </c>
      <c r="BN9" s="32">
        <v>2245.1109763229701</v>
      </c>
      <c r="BO9" s="32">
        <v>1786.66736994809</v>
      </c>
      <c r="BP9" s="32">
        <v>1572.3588013660899</v>
      </c>
      <c r="BQ9" s="32">
        <v>7.5655650147123596E-2</v>
      </c>
      <c r="BR9" s="32">
        <v>0.55579371172796999</v>
      </c>
      <c r="BS9" s="32">
        <v>8148.2479999999896</v>
      </c>
      <c r="BT9" s="32">
        <v>16.835884242607399</v>
      </c>
      <c r="BU9" s="32">
        <v>-52.424403771491903</v>
      </c>
      <c r="BV9" s="32">
        <v>26.6523888756833</v>
      </c>
      <c r="BW9" s="32">
        <v>119.519999999999</v>
      </c>
      <c r="BX9" s="32">
        <v>120.54</v>
      </c>
      <c r="BY9" s="32">
        <v>120.819999999999</v>
      </c>
      <c r="BZ9" s="32">
        <v>128.06</v>
      </c>
      <c r="CA9" s="32">
        <v>1.47426480514922</v>
      </c>
      <c r="CB9" s="32">
        <v>-220.34047619047601</v>
      </c>
      <c r="CC9" s="32">
        <v>55.369999999999898</v>
      </c>
      <c r="CD9" s="32">
        <v>15390.6</v>
      </c>
      <c r="CE9" s="32">
        <v>0.64071547307440202</v>
      </c>
      <c r="CF9" s="32">
        <v>1.18167148443121</v>
      </c>
      <c r="CG9" s="32">
        <v>1.0842942152161701</v>
      </c>
      <c r="CH9" s="32">
        <v>182.02759665957001</v>
      </c>
      <c r="CI9" s="32">
        <v>74.117091110693906</v>
      </c>
      <c r="CJ9" s="32">
        <v>150.33867053439201</v>
      </c>
      <c r="CK9" s="32">
        <v>128.35999999999899</v>
      </c>
      <c r="CL9" s="32">
        <v>129.37799999999999</v>
      </c>
      <c r="CM9" s="32">
        <v>127.849999999999</v>
      </c>
      <c r="CN9" s="32">
        <v>124.989999999999</v>
      </c>
      <c r="CO9" s="32">
        <v>121.809</v>
      </c>
      <c r="CP9" s="32">
        <v>122.86</v>
      </c>
      <c r="CQ9" s="32">
        <v>1844.14</v>
      </c>
      <c r="CR9" s="32">
        <v>124.91</v>
      </c>
      <c r="CS9" s="32">
        <v>1</v>
      </c>
      <c r="CT9" s="32">
        <v>95.919970512800901</v>
      </c>
      <c r="CU9" s="32">
        <v>4.6363865408979403E-2</v>
      </c>
      <c r="CV9" s="32">
        <v>0.72452297942726696</v>
      </c>
      <c r="CW9" s="32">
        <v>0.68768949698695603</v>
      </c>
      <c r="CX9" s="32">
        <v>624.87254131529403</v>
      </c>
      <c r="CY9" s="32">
        <v>-3.0880000000000001</v>
      </c>
      <c r="CZ9" s="32">
        <v>2584.9299999999998</v>
      </c>
      <c r="DA9" s="32">
        <v>4.1059999999999999</v>
      </c>
      <c r="DB9" s="33">
        <v>4.6790746592825099E-11</v>
      </c>
      <c r="DC9" s="33">
        <v>8.7643998770911395E-5</v>
      </c>
      <c r="DD9" s="32">
        <v>42.183</v>
      </c>
      <c r="DE9" s="32">
        <v>5</v>
      </c>
      <c r="DF9" s="32">
        <v>241.2</v>
      </c>
      <c r="DG9" s="32">
        <v>245.7</v>
      </c>
      <c r="DH9" s="32">
        <v>281.39999999999901</v>
      </c>
      <c r="DI9" s="32">
        <v>284.5</v>
      </c>
      <c r="DJ9" s="32">
        <v>27.891305659956402</v>
      </c>
      <c r="DK9" s="32">
        <v>8.7754561262590694E-2</v>
      </c>
      <c r="DL9" s="32">
        <v>0.38632621725969502</v>
      </c>
      <c r="DM9" s="32">
        <v>0.91817819122184796</v>
      </c>
      <c r="DN9" s="32">
        <v>13.42</v>
      </c>
      <c r="DO9" s="32">
        <v>61.464999999999897</v>
      </c>
      <c r="DP9" s="32">
        <v>1.5599999999999901</v>
      </c>
      <c r="DQ9" s="32">
        <v>34.339999999999897</v>
      </c>
      <c r="DR9" s="32">
        <v>-5.9899999999999904</v>
      </c>
      <c r="DS9" s="32">
        <v>40.389999999999901</v>
      </c>
      <c r="DT9" s="32">
        <v>3.83</v>
      </c>
      <c r="DU9" s="32">
        <v>9.9999999999999006E-2</v>
      </c>
      <c r="DV9" s="32">
        <v>231.69999999999899</v>
      </c>
      <c r="DW9" s="32">
        <v>3.48</v>
      </c>
      <c r="DX9" s="32">
        <v>-9.35</v>
      </c>
      <c r="DY9" s="32">
        <v>149.4</v>
      </c>
      <c r="DZ9" s="32">
        <v>-20.099999999999898</v>
      </c>
      <c r="EA9" s="32">
        <v>-57</v>
      </c>
      <c r="EB9" s="32">
        <v>1571.14</v>
      </c>
      <c r="EC9" s="32">
        <v>668.62</v>
      </c>
      <c r="ED9" s="32">
        <v>110.05</v>
      </c>
      <c r="EE9" s="32">
        <v>557.6</v>
      </c>
      <c r="EF9" s="32">
        <v>89.369999999999905</v>
      </c>
      <c r="EG9" s="32">
        <v>-75.53</v>
      </c>
      <c r="EH9" s="32">
        <v>-11.7099999999999</v>
      </c>
      <c r="EI9" s="32">
        <v>6.39</v>
      </c>
      <c r="EJ9" s="32">
        <v>-56.15</v>
      </c>
      <c r="EK9" s="32">
        <v>-579.68999999999903</v>
      </c>
      <c r="EL9" s="32">
        <v>320.088267142669</v>
      </c>
      <c r="EM9" s="32">
        <v>135.47440177058101</v>
      </c>
      <c r="EN9" s="32">
        <v>0.46503028009910802</v>
      </c>
      <c r="EO9" s="32">
        <v>0.35733947422231699</v>
      </c>
      <c r="EP9" s="32">
        <v>0.31579648943428001</v>
      </c>
      <c r="EQ9" s="32">
        <v>1E-3</v>
      </c>
      <c r="ER9" s="32">
        <v>361.392618250743</v>
      </c>
      <c r="ES9" s="32">
        <v>423.75579075684999</v>
      </c>
      <c r="ET9" s="32">
        <v>531.35160481819401</v>
      </c>
      <c r="EU9" s="32">
        <v>544.24265191445897</v>
      </c>
      <c r="EV9" s="32">
        <v>316.78020355021403</v>
      </c>
      <c r="EW9" s="32">
        <v>452.75337833053601</v>
      </c>
      <c r="EX9" s="32">
        <v>16086</v>
      </c>
      <c r="EY9" s="32">
        <v>13.8748174900006</v>
      </c>
      <c r="EZ9" s="32">
        <v>6.8938932418823198</v>
      </c>
      <c r="FA9" s="32">
        <v>6.7643170356750399</v>
      </c>
      <c r="FB9" s="32">
        <v>8</v>
      </c>
      <c r="FC9" s="32">
        <v>2</v>
      </c>
      <c r="FD9" s="32">
        <v>1</v>
      </c>
      <c r="FE9" s="32">
        <v>18</v>
      </c>
      <c r="FF9" s="32">
        <v>1</v>
      </c>
      <c r="FG9" s="32">
        <v>0</v>
      </c>
      <c r="FH9" s="32">
        <v>14</v>
      </c>
      <c r="FI9" s="32">
        <v>2</v>
      </c>
      <c r="FJ9" s="32">
        <v>0</v>
      </c>
      <c r="FK9" s="32">
        <v>91</v>
      </c>
      <c r="FL9" s="32">
        <v>408</v>
      </c>
      <c r="FM9" s="32">
        <v>432</v>
      </c>
      <c r="FN9" s="32">
        <v>121.72</v>
      </c>
      <c r="FO9" s="32">
        <v>724.099999999999</v>
      </c>
      <c r="FP9" s="32">
        <v>717.6</v>
      </c>
      <c r="FQ9" s="32">
        <v>1066.5999999999999</v>
      </c>
      <c r="FR9" s="32">
        <v>1524.89</v>
      </c>
      <c r="FS9" s="32">
        <v>16.055708080471501</v>
      </c>
      <c r="FT9" s="32">
        <v>78.039999999999907</v>
      </c>
      <c r="FU9" s="32">
        <v>11095</v>
      </c>
      <c r="FV9" s="32">
        <v>1957.1099999999899</v>
      </c>
      <c r="FW9" s="32">
        <v>9967</v>
      </c>
      <c r="FX9" s="33">
        <v>1.23099524307939E-13</v>
      </c>
      <c r="FY9" s="32">
        <v>933.02318165066401</v>
      </c>
      <c r="FZ9" s="32">
        <v>1576.4769553409401</v>
      </c>
      <c r="GA9" s="32">
        <v>2282.1589109722599</v>
      </c>
      <c r="GB9" s="32">
        <v>1456.2207732765601</v>
      </c>
      <c r="GC9" s="32">
        <v>1334.10763999249</v>
      </c>
      <c r="GD9" s="32">
        <v>2104.7413874814902</v>
      </c>
      <c r="GE9" s="32">
        <v>126.29</v>
      </c>
      <c r="GF9" s="32">
        <v>223.36999999999901</v>
      </c>
      <c r="GG9" s="32">
        <v>170.506</v>
      </c>
      <c r="GH9" s="32">
        <v>210.582999999999</v>
      </c>
      <c r="GI9" s="32">
        <v>3556.2369999999901</v>
      </c>
      <c r="GJ9" s="32">
        <v>3458.9720000000002</v>
      </c>
      <c r="GK9" s="32">
        <v>4592.0110000000004</v>
      </c>
      <c r="GL9" s="32">
        <v>364.654</v>
      </c>
      <c r="GM9" s="32">
        <v>239.31200000000001</v>
      </c>
      <c r="GN9" s="32">
        <v>616.46099999999899</v>
      </c>
      <c r="GO9" s="32">
        <v>-56.54</v>
      </c>
      <c r="GP9" s="32">
        <v>3851.2166099999899</v>
      </c>
      <c r="GQ9" s="32">
        <v>26116.7245944934</v>
      </c>
      <c r="GR9" s="32">
        <v>6.07099758064511</v>
      </c>
      <c r="GS9" s="32">
        <v>0.77648229653084599</v>
      </c>
      <c r="GT9" s="32">
        <v>16.993739294948401</v>
      </c>
      <c r="GU9" s="32">
        <v>10.578737531522</v>
      </c>
      <c r="GV9" s="32">
        <v>10.399156021593001</v>
      </c>
    </row>
    <row r="10" spans="1:204" x14ac:dyDescent="0.25">
      <c r="A10" s="27" t="s">
        <v>201</v>
      </c>
      <c r="B10" s="28" t="s">
        <v>201</v>
      </c>
      <c r="C10" s="28">
        <v>0.19</v>
      </c>
      <c r="D10" s="28">
        <v>0.17</v>
      </c>
      <c r="E10" s="28">
        <v>0.09</v>
      </c>
      <c r="F10" s="28" t="s">
        <v>201</v>
      </c>
      <c r="G10" s="28">
        <v>1.04</v>
      </c>
      <c r="H10" s="28">
        <v>0.79</v>
      </c>
      <c r="I10" s="28">
        <v>0.53</v>
      </c>
      <c r="J10" s="29" t="s">
        <v>201</v>
      </c>
      <c r="K10" s="30">
        <v>0.19</v>
      </c>
      <c r="L10" s="30">
        <v>0.17</v>
      </c>
      <c r="M10" s="30">
        <v>0.12</v>
      </c>
      <c r="N10" s="41" t="s">
        <v>201</v>
      </c>
      <c r="O10" s="30">
        <v>1.04</v>
      </c>
      <c r="P10" s="30">
        <v>1.1299999999999999</v>
      </c>
      <c r="Q10" s="30">
        <v>1.35</v>
      </c>
      <c r="R10" s="29" t="s">
        <v>201</v>
      </c>
      <c r="S10" s="31">
        <v>2</v>
      </c>
      <c r="T10" s="31">
        <v>0.25</v>
      </c>
      <c r="U10" s="31">
        <v>0.28999999999999998</v>
      </c>
      <c r="V10" s="29" t="s">
        <v>201</v>
      </c>
      <c r="W10" s="31">
        <v>1.1499999999999999</v>
      </c>
      <c r="X10" s="31">
        <v>0.19</v>
      </c>
      <c r="Y10" s="31">
        <v>0.2</v>
      </c>
      <c r="Z10" s="29" t="s">
        <v>201</v>
      </c>
      <c r="AA10" s="29">
        <v>1.05</v>
      </c>
      <c r="AB10" s="29">
        <v>0.78</v>
      </c>
      <c r="AC10" s="29">
        <v>0.7</v>
      </c>
      <c r="AD10" s="28" t="s">
        <v>201</v>
      </c>
      <c r="AE10" s="28">
        <v>0.19</v>
      </c>
      <c r="AF10" s="28">
        <v>0.17</v>
      </c>
      <c r="AG10" s="28">
        <v>0.15</v>
      </c>
      <c r="AH10" s="28" t="s">
        <v>201</v>
      </c>
      <c r="AI10" s="28">
        <v>1.05</v>
      </c>
      <c r="AJ10" s="28">
        <v>0.82</v>
      </c>
      <c r="AK10" s="28">
        <v>0.7</v>
      </c>
      <c r="AL10" s="32" t="s">
        <v>201</v>
      </c>
      <c r="AM10" s="32">
        <v>10</v>
      </c>
      <c r="AN10" s="32">
        <v>6.3779467680608201E-2</v>
      </c>
      <c r="AO10" s="32">
        <v>1546.9</v>
      </c>
      <c r="AP10" s="32">
        <v>1551.5699999999899</v>
      </c>
      <c r="AQ10" s="32">
        <v>253.414999999999</v>
      </c>
      <c r="AR10" s="32">
        <v>522.92985011339795</v>
      </c>
      <c r="AS10" s="32">
        <v>16.413799999999998</v>
      </c>
      <c r="AT10" s="32">
        <v>61.4756</v>
      </c>
      <c r="AU10" s="32">
        <v>2.8310335748825299E-2</v>
      </c>
      <c r="AV10" s="32">
        <v>-453.46371428571399</v>
      </c>
      <c r="AW10" s="32">
        <v>825.71661950831901</v>
      </c>
      <c r="AX10" s="32">
        <v>2.0000000000014402</v>
      </c>
      <c r="AY10" s="32">
        <v>1.4376247829192199E-2</v>
      </c>
      <c r="AZ10" s="32">
        <v>1.3550696099319101E-2</v>
      </c>
      <c r="BA10" s="32">
        <v>1.79986160379704E-2</v>
      </c>
      <c r="BB10" s="32">
        <v>0.403613034898337</v>
      </c>
      <c r="BC10" s="32">
        <v>1931.6621757482501</v>
      </c>
      <c r="BD10" s="32">
        <v>1615.54516028642</v>
      </c>
      <c r="BE10" s="32">
        <v>1325.0672278350501</v>
      </c>
      <c r="BF10" s="32">
        <v>925.90592245923006</v>
      </c>
      <c r="BG10" s="32">
        <v>0.596386965101664</v>
      </c>
      <c r="BH10" s="32">
        <v>2.1392559304101399</v>
      </c>
      <c r="BI10" s="32">
        <v>2640.9051523705998</v>
      </c>
      <c r="BJ10" s="32">
        <v>1588.8594272478001</v>
      </c>
      <c r="BK10" s="32">
        <v>1345.96380803801</v>
      </c>
      <c r="BL10" s="32">
        <v>3.3236493304333002E-2</v>
      </c>
      <c r="BM10" s="32">
        <v>0.42690667846768199</v>
      </c>
      <c r="BN10" s="32">
        <v>3155.1329965824202</v>
      </c>
      <c r="BO10" s="32">
        <v>2323.5874165045602</v>
      </c>
      <c r="BP10" s="32">
        <v>2117.6534169615102</v>
      </c>
      <c r="BQ10" s="32">
        <v>7.0343133788315901E-2</v>
      </c>
      <c r="BR10" s="32">
        <v>0.57309332153231896</v>
      </c>
      <c r="BS10" s="32">
        <v>13221.460999999899</v>
      </c>
      <c r="BT10" s="32">
        <v>6.7731386128373199</v>
      </c>
      <c r="BU10" s="32">
        <v>-87.2695965769325</v>
      </c>
      <c r="BV10" s="32">
        <v>27.902430732130501</v>
      </c>
      <c r="BW10" s="32">
        <v>251.41</v>
      </c>
      <c r="BX10" s="32">
        <v>249.57899999999901</v>
      </c>
      <c r="BY10" s="32">
        <v>249.69999999999899</v>
      </c>
      <c r="BZ10" s="32">
        <v>254.63</v>
      </c>
      <c r="CA10" s="32">
        <v>0.70877428128652298</v>
      </c>
      <c r="CB10" s="32">
        <v>-453.46371428571302</v>
      </c>
      <c r="CC10" s="32">
        <v>111.71</v>
      </c>
      <c r="CD10" s="32">
        <v>30277.299999999901</v>
      </c>
      <c r="CE10" s="32">
        <v>0.63105323921369205</v>
      </c>
      <c r="CF10" s="32">
        <v>1.16761854758812</v>
      </c>
      <c r="CG10" s="32">
        <v>1.1153452531302499</v>
      </c>
      <c r="CH10" s="32">
        <v>232.734312602881</v>
      </c>
      <c r="CI10" s="32">
        <v>88.3517720658418</v>
      </c>
      <c r="CJ10" s="32">
        <v>149.170555932041</v>
      </c>
      <c r="CK10" s="32">
        <v>257.52999999999997</v>
      </c>
      <c r="CL10" s="32">
        <v>259.36</v>
      </c>
      <c r="CM10" s="32">
        <v>255.55999999999901</v>
      </c>
      <c r="CN10" s="32">
        <v>252.34</v>
      </c>
      <c r="CO10" s="32">
        <v>249.614</v>
      </c>
      <c r="CP10" s="32">
        <v>253.729999999999</v>
      </c>
      <c r="CQ10" s="32">
        <v>3737.6</v>
      </c>
      <c r="CR10" s="32">
        <v>254.16</v>
      </c>
      <c r="CS10" s="32">
        <v>1</v>
      </c>
      <c r="CT10" s="32">
        <v>95.919970512800901</v>
      </c>
      <c r="CU10" s="32">
        <v>2.9278924113923601E-2</v>
      </c>
      <c r="CV10" s="32">
        <v>0.874762539419084</v>
      </c>
      <c r="CW10" s="32">
        <v>0.483666459692839</v>
      </c>
      <c r="CX10" s="32">
        <v>825.71661950831901</v>
      </c>
      <c r="CY10" s="32">
        <v>0.375999999999997</v>
      </c>
      <c r="CZ10" s="32">
        <v>5261.5099999999902</v>
      </c>
      <c r="DA10" s="32">
        <v>17.294999999999899</v>
      </c>
      <c r="DB10" s="33">
        <v>8.3636463082992803E-11</v>
      </c>
      <c r="DC10" s="33">
        <v>3.5275197432513802E-5</v>
      </c>
      <c r="DD10" s="32">
        <v>190.07499999999999</v>
      </c>
      <c r="DE10" s="32">
        <v>2</v>
      </c>
      <c r="DF10" s="32">
        <v>599.39999999999895</v>
      </c>
      <c r="DG10" s="32">
        <v>867.89999999999804</v>
      </c>
      <c r="DH10" s="32">
        <v>759.8</v>
      </c>
      <c r="DI10" s="32">
        <v>613.70000000000005</v>
      </c>
      <c r="DJ10" s="32">
        <v>49.854518810416103</v>
      </c>
      <c r="DK10" s="32">
        <v>0.44631708818094701</v>
      </c>
      <c r="DL10" s="32">
        <v>0.88767959407086405</v>
      </c>
      <c r="DM10" s="32">
        <v>0.11325190977579699</v>
      </c>
      <c r="DN10" s="32">
        <v>105.08999999999899</v>
      </c>
      <c r="DO10" s="32">
        <v>139.13900000000001</v>
      </c>
      <c r="DP10" s="32">
        <v>-11.8599999999999</v>
      </c>
      <c r="DQ10" s="32">
        <v>76.510000000000005</v>
      </c>
      <c r="DR10" s="32">
        <v>40.71</v>
      </c>
      <c r="DS10" s="32">
        <v>111.91</v>
      </c>
      <c r="DT10" s="32">
        <v>-7.2699999999999898</v>
      </c>
      <c r="DU10" s="32">
        <v>-46.499999999999901</v>
      </c>
      <c r="DV10" s="32">
        <v>322.599999999999</v>
      </c>
      <c r="DW10" s="32">
        <v>57.01</v>
      </c>
      <c r="DX10" s="32">
        <v>31.780000000000101</v>
      </c>
      <c r="DY10" s="32">
        <v>426.49999999999898</v>
      </c>
      <c r="DZ10" s="32">
        <v>-11.1999999999999</v>
      </c>
      <c r="EA10" s="32">
        <v>18.999999999999901</v>
      </c>
      <c r="EB10" s="32">
        <v>3252.9299999999898</v>
      </c>
      <c r="EC10" s="32">
        <v>1395.12</v>
      </c>
      <c r="ED10" s="32">
        <v>240.89</v>
      </c>
      <c r="EE10" s="32">
        <v>1274.79999999999</v>
      </c>
      <c r="EF10" s="32">
        <v>184.289999999999</v>
      </c>
      <c r="EG10" s="32">
        <v>-55.42</v>
      </c>
      <c r="EH10" s="32">
        <v>-16.97</v>
      </c>
      <c r="EI10" s="32">
        <v>81.669999999999803</v>
      </c>
      <c r="EJ10" s="32">
        <v>-53.720000000000098</v>
      </c>
      <c r="EK10" s="32">
        <v>-746.05999999999904</v>
      </c>
      <c r="EL10" s="32">
        <v>1931.6621757482501</v>
      </c>
      <c r="EM10" s="32">
        <v>1159.2187766471</v>
      </c>
      <c r="EN10" s="32">
        <v>1.3980037394221601</v>
      </c>
      <c r="EO10" s="32">
        <v>0.79622498242148898</v>
      </c>
      <c r="EP10" s="32">
        <v>1.4085023994882999</v>
      </c>
      <c r="EQ10" s="32">
        <v>1E-3</v>
      </c>
      <c r="ER10" s="32">
        <v>414.40602912813</v>
      </c>
      <c r="ES10" s="32">
        <v>669.36648668258897</v>
      </c>
      <c r="ET10" s="32">
        <v>2208.3648556880999</v>
      </c>
      <c r="EU10" s="32">
        <v>733.14682300168499</v>
      </c>
      <c r="EV10" s="32">
        <v>493.26307703962101</v>
      </c>
      <c r="EW10" s="32">
        <v>1837.80061397446</v>
      </c>
      <c r="EX10" s="32">
        <v>31190</v>
      </c>
      <c r="EY10" s="32">
        <v>27.7050057699973</v>
      </c>
      <c r="EZ10" s="32">
        <v>2.4941818714141801</v>
      </c>
      <c r="FA10" s="32">
        <v>3.2427527904510498</v>
      </c>
      <c r="FB10" s="32">
        <v>11</v>
      </c>
      <c r="FC10" s="32">
        <v>2</v>
      </c>
      <c r="FD10" s="32">
        <v>2</v>
      </c>
      <c r="FE10" s="32">
        <v>26</v>
      </c>
      <c r="FF10" s="32">
        <v>2</v>
      </c>
      <c r="FG10" s="32">
        <v>0</v>
      </c>
      <c r="FH10" s="32">
        <v>19</v>
      </c>
      <c r="FI10" s="32">
        <v>1</v>
      </c>
      <c r="FJ10" s="32">
        <v>1</v>
      </c>
      <c r="FK10" s="32">
        <v>164</v>
      </c>
      <c r="FL10" s="32">
        <v>618</v>
      </c>
      <c r="FM10" s="32">
        <v>935</v>
      </c>
      <c r="FN10" s="32">
        <v>266.87999999999897</v>
      </c>
      <c r="FO10" s="32">
        <v>1508.9</v>
      </c>
      <c r="FP10" s="32">
        <v>1788.2</v>
      </c>
      <c r="FQ10" s="32">
        <v>2101.3000000000002</v>
      </c>
      <c r="FR10" s="32">
        <v>2447.41</v>
      </c>
      <c r="FS10" s="32">
        <v>19.1785004362475</v>
      </c>
      <c r="FT10" s="32">
        <v>133.66999999999899</v>
      </c>
      <c r="FU10" s="32">
        <v>22433</v>
      </c>
      <c r="FV10" s="32">
        <v>3528.5</v>
      </c>
      <c r="FW10" s="32">
        <v>19732</v>
      </c>
      <c r="FX10" s="33">
        <v>1.3751550144593499E-13</v>
      </c>
      <c r="FY10" s="32">
        <v>1615.54516028642</v>
      </c>
      <c r="FZ10" s="32">
        <v>2682.1903621852298</v>
      </c>
      <c r="GA10" s="32">
        <v>3161.1567578464601</v>
      </c>
      <c r="GB10" s="32">
        <v>2560.0774386316898</v>
      </c>
      <c r="GC10" s="32">
        <v>2297.14607371188</v>
      </c>
      <c r="GD10" s="32">
        <v>2834.2405627087801</v>
      </c>
      <c r="GE10" s="32">
        <v>257.25999999999902</v>
      </c>
      <c r="GF10" s="32">
        <v>179.159999999999</v>
      </c>
      <c r="GG10" s="32">
        <v>374.30399999999901</v>
      </c>
      <c r="GH10" s="32">
        <v>237.96799999999899</v>
      </c>
      <c r="GI10" s="32">
        <v>5336.3540000000003</v>
      </c>
      <c r="GJ10" s="32">
        <v>5123.7199999999903</v>
      </c>
      <c r="GK10" s="32">
        <v>7885.107</v>
      </c>
      <c r="GL10" s="32">
        <v>690.77200000000096</v>
      </c>
      <c r="GM10" s="32">
        <v>439.435</v>
      </c>
      <c r="GN10" s="32">
        <v>930.03899999999999</v>
      </c>
      <c r="GO10" s="32">
        <v>-63.949999999999903</v>
      </c>
      <c r="GP10" s="32">
        <v>6207.5374583333396</v>
      </c>
      <c r="GQ10" s="32">
        <v>52917.383379480903</v>
      </c>
      <c r="GR10" s="32">
        <v>3.15361140684398</v>
      </c>
      <c r="GS10" s="32">
        <v>-1.98476266501815</v>
      </c>
      <c r="GT10" s="32">
        <v>6.8359595495408101</v>
      </c>
      <c r="GU10" s="32">
        <v>7.7187527129540996</v>
      </c>
      <c r="GV10" s="32">
        <v>7.4662210023200801</v>
      </c>
    </row>
    <row r="11" spans="1:204" x14ac:dyDescent="0.25">
      <c r="A11" s="27" t="s">
        <v>202</v>
      </c>
      <c r="B11" s="28"/>
      <c r="C11" s="34"/>
      <c r="D11" s="34"/>
      <c r="E11" s="34"/>
      <c r="F11" s="28"/>
      <c r="G11" s="34"/>
      <c r="H11" s="34"/>
      <c r="I11" s="34"/>
      <c r="J11" s="29"/>
      <c r="K11" s="30"/>
      <c r="L11" s="30"/>
      <c r="M11" s="30"/>
      <c r="N11" s="41"/>
      <c r="O11" s="30"/>
      <c r="P11" s="30"/>
      <c r="Q11" s="30"/>
      <c r="R11" s="29"/>
      <c r="S11" s="31"/>
      <c r="T11" s="31"/>
      <c r="U11" s="31"/>
      <c r="V11" s="35"/>
      <c r="W11" s="29"/>
      <c r="X11" s="29"/>
      <c r="Y11" s="29"/>
      <c r="Z11" s="29" t="s">
        <v>202</v>
      </c>
      <c r="AA11" s="29">
        <v>0.24</v>
      </c>
      <c r="AB11" s="29">
        <v>0.43</v>
      </c>
      <c r="AC11" s="29">
        <v>0.38</v>
      </c>
      <c r="AD11" s="28"/>
      <c r="AE11" s="36"/>
      <c r="AF11" s="36"/>
      <c r="AG11" s="36"/>
      <c r="AH11" s="28"/>
      <c r="AI11" s="36"/>
      <c r="AJ11" s="36"/>
      <c r="AK11" s="36"/>
      <c r="AL11" s="32" t="s">
        <v>202</v>
      </c>
      <c r="AM11" s="32">
        <v>6</v>
      </c>
      <c r="AN11" s="32">
        <v>-1.43209876543209E-2</v>
      </c>
      <c r="AO11" s="32">
        <v>960.9</v>
      </c>
      <c r="AP11" s="32">
        <v>981.92999999999904</v>
      </c>
      <c r="AQ11" s="32">
        <v>162.665999999999</v>
      </c>
      <c r="AR11" s="32">
        <v>143.203854947032</v>
      </c>
      <c r="AS11" s="32">
        <v>-5.12</v>
      </c>
      <c r="AT11" s="32">
        <v>32.887599999999999</v>
      </c>
      <c r="AU11" s="32">
        <v>1.43350544557011E-2</v>
      </c>
      <c r="AV11" s="32">
        <v>-310.02780952380903</v>
      </c>
      <c r="AW11" s="32">
        <v>689.95534534553201</v>
      </c>
      <c r="AX11" s="32">
        <v>-8.9999999999992308</v>
      </c>
      <c r="AY11" s="32">
        <v>3.84542596794799E-3</v>
      </c>
      <c r="AZ11" s="32">
        <v>2.2601521833259398E-2</v>
      </c>
      <c r="BA11" s="32">
        <v>3.0915331106475499E-2</v>
      </c>
      <c r="BB11" s="32">
        <v>0.44469280058556099</v>
      </c>
      <c r="BC11" s="32">
        <v>561.97087130729506</v>
      </c>
      <c r="BD11" s="32">
        <v>923.77307640531399</v>
      </c>
      <c r="BE11" s="32">
        <v>633.49906930727502</v>
      </c>
      <c r="BF11" s="32">
        <v>384.54505502244399</v>
      </c>
      <c r="BG11" s="32">
        <v>0.55530719941443996</v>
      </c>
      <c r="BH11" s="32">
        <v>2.3230036584543101</v>
      </c>
      <c r="BI11" s="32">
        <v>3240.31179938071</v>
      </c>
      <c r="BJ11" s="32">
        <v>2555.4442322667801</v>
      </c>
      <c r="BK11" s="32">
        <v>2337.0291642168499</v>
      </c>
      <c r="BL11" s="32">
        <v>7.2537920321800897E-2</v>
      </c>
      <c r="BM11" s="32">
        <v>0.431031622836061</v>
      </c>
      <c r="BN11" s="32">
        <v>2037.7522540089201</v>
      </c>
      <c r="BO11" s="32">
        <v>1609.69256145595</v>
      </c>
      <c r="BP11" s="32">
        <v>1470.33131934522</v>
      </c>
      <c r="BQ11" s="32">
        <v>7.2168725085134902E-2</v>
      </c>
      <c r="BR11" s="32">
        <v>0.568968377163939</v>
      </c>
      <c r="BS11" s="32">
        <v>8385.8069999999898</v>
      </c>
      <c r="BT11" s="32">
        <v>-30.286953749324301</v>
      </c>
      <c r="BU11" s="32">
        <v>-60.801962624130098</v>
      </c>
      <c r="BV11" s="32">
        <v>31.1345800101649</v>
      </c>
      <c r="BW11" s="32">
        <v>175.88999999999899</v>
      </c>
      <c r="BX11" s="32">
        <v>177.09899999999899</v>
      </c>
      <c r="BY11" s="32">
        <v>178.35</v>
      </c>
      <c r="BZ11" s="32">
        <v>163.46</v>
      </c>
      <c r="CA11" s="32">
        <v>-2.5956715372028301</v>
      </c>
      <c r="CB11" s="32">
        <v>-310.02780952380903</v>
      </c>
      <c r="CC11" s="32">
        <v>70.559999999999903</v>
      </c>
      <c r="CD11" s="32">
        <v>20503.3999999999</v>
      </c>
      <c r="CE11" s="32">
        <v>0.62936944627149505</v>
      </c>
      <c r="CF11" s="32">
        <v>1.39828684405196</v>
      </c>
      <c r="CG11" s="32">
        <v>1.1965613291659001</v>
      </c>
      <c r="CH11" s="32">
        <v>146.77755360987399</v>
      </c>
      <c r="CI11" s="32">
        <v>292.33155512187699</v>
      </c>
      <c r="CJ11" s="32">
        <v>189.693430271056</v>
      </c>
      <c r="CK11" s="32">
        <v>160.77000000000001</v>
      </c>
      <c r="CL11" s="32">
        <v>161.13900000000001</v>
      </c>
      <c r="CM11" s="32">
        <v>156.38999999999999</v>
      </c>
      <c r="CN11" s="32">
        <v>147.82999999999899</v>
      </c>
      <c r="CO11" s="32">
        <v>149.99299999999999</v>
      </c>
      <c r="CP11" s="32">
        <v>149.83999999999901</v>
      </c>
      <c r="CQ11" s="32">
        <v>2576.17</v>
      </c>
      <c r="CR11" s="32">
        <v>154.58500000000001</v>
      </c>
      <c r="CS11" s="32">
        <v>1</v>
      </c>
      <c r="CT11" s="32">
        <v>95.919970512800901</v>
      </c>
      <c r="CU11" s="32">
        <v>0.81100748049156801</v>
      </c>
      <c r="CV11" s="32">
        <v>0.53039037686563295</v>
      </c>
      <c r="CW11" s="32">
        <v>0.246886440929933</v>
      </c>
      <c r="CX11" s="32">
        <v>689.95534534553201</v>
      </c>
      <c r="CY11" s="32">
        <v>4.5190000000000001</v>
      </c>
      <c r="CZ11" s="32">
        <v>3401.61</v>
      </c>
      <c r="DA11" s="32">
        <v>17.4879999999999</v>
      </c>
      <c r="DB11" s="33">
        <v>4.51803913181584E-11</v>
      </c>
      <c r="DC11" s="32">
        <v>-1.5766026921588399E-4</v>
      </c>
      <c r="DD11" s="32">
        <v>32.247</v>
      </c>
      <c r="DE11" s="32">
        <v>-9</v>
      </c>
      <c r="DF11" s="32">
        <v>319</v>
      </c>
      <c r="DG11" s="32">
        <v>520.29999999999995</v>
      </c>
      <c r="DH11" s="32">
        <v>419.8</v>
      </c>
      <c r="DI11" s="32">
        <v>134.69999999999899</v>
      </c>
      <c r="DJ11" s="32">
        <v>26.9313955397418</v>
      </c>
      <c r="DK11" s="32">
        <v>0.99984797211421195</v>
      </c>
      <c r="DL11" s="32">
        <v>9.1944719123375207E-3</v>
      </c>
      <c r="DM11" s="32">
        <v>1.48153415536019E-2</v>
      </c>
      <c r="DN11" s="32">
        <v>66.569999999999894</v>
      </c>
      <c r="DO11" s="32">
        <v>84.992000000000004</v>
      </c>
      <c r="DP11" s="32">
        <v>-20.069999999999901</v>
      </c>
      <c r="DQ11" s="32">
        <v>46.34</v>
      </c>
      <c r="DR11" s="32">
        <v>4.59</v>
      </c>
      <c r="DS11" s="32">
        <v>66.309999999999903</v>
      </c>
      <c r="DT11" s="32">
        <v>-2.79</v>
      </c>
      <c r="DU11" s="32">
        <v>19.899999999999899</v>
      </c>
      <c r="DV11" s="32">
        <v>182.9</v>
      </c>
      <c r="DW11" s="32">
        <v>33.129999999999903</v>
      </c>
      <c r="DX11" s="32">
        <v>-1.69999999999999</v>
      </c>
      <c r="DY11" s="32">
        <v>280</v>
      </c>
      <c r="DZ11" s="32">
        <v>-26.5</v>
      </c>
      <c r="EA11" s="32">
        <v>-26.999999999999901</v>
      </c>
      <c r="EB11" s="32">
        <v>2094.2199999999998</v>
      </c>
      <c r="EC11" s="32">
        <v>903.22</v>
      </c>
      <c r="ED11" s="32">
        <v>139.12</v>
      </c>
      <c r="EE11" s="32">
        <v>775</v>
      </c>
      <c r="EF11" s="32">
        <v>116.91999999999901</v>
      </c>
      <c r="EG11" s="32">
        <v>-72.150000000000006</v>
      </c>
      <c r="EH11" s="32">
        <v>-8.7100000000000009</v>
      </c>
      <c r="EI11" s="32">
        <v>31.04</v>
      </c>
      <c r="EJ11" s="32">
        <v>-12.049999999999899</v>
      </c>
      <c r="EK11" s="32">
        <v>-639.5</v>
      </c>
      <c r="EL11" s="32">
        <v>561.97087130729506</v>
      </c>
      <c r="EM11" s="32">
        <v>177.17588010631201</v>
      </c>
      <c r="EN11" s="32">
        <v>0.45417153724832299</v>
      </c>
      <c r="EO11" s="32">
        <v>0.46116859691789702</v>
      </c>
      <c r="EP11" s="32">
        <v>0.44426864421838302</v>
      </c>
      <c r="EQ11" s="32">
        <v>1E-3</v>
      </c>
      <c r="ER11" s="32">
        <v>374.68545897067702</v>
      </c>
      <c r="ES11" s="32">
        <v>1780.60251142586</v>
      </c>
      <c r="ET11" s="32">
        <v>378.26051565863298</v>
      </c>
      <c r="EU11" s="32">
        <v>468.87040557840299</v>
      </c>
      <c r="EV11" s="32">
        <v>1258.38287378359</v>
      </c>
      <c r="EW11" s="32">
        <v>321.85929199938801</v>
      </c>
      <c r="EX11" s="32">
        <v>21245</v>
      </c>
      <c r="EY11" s="32">
        <v>18.354393079998498</v>
      </c>
      <c r="EZ11" s="32">
        <v>-7.1261601448059002</v>
      </c>
      <c r="FA11" s="32">
        <v>-7.2497863769531197</v>
      </c>
      <c r="FB11" s="32">
        <v>10</v>
      </c>
      <c r="FC11" s="32">
        <v>1</v>
      </c>
      <c r="FD11" s="32">
        <v>0</v>
      </c>
      <c r="FE11" s="32">
        <v>8</v>
      </c>
      <c r="FF11" s="32">
        <v>3</v>
      </c>
      <c r="FG11" s="32">
        <v>1</v>
      </c>
      <c r="FH11" s="32">
        <v>9</v>
      </c>
      <c r="FI11" s="32">
        <v>4</v>
      </c>
      <c r="FJ11" s="32">
        <v>0</v>
      </c>
      <c r="FK11" s="32">
        <v>112</v>
      </c>
      <c r="FL11" s="32">
        <v>545</v>
      </c>
      <c r="FM11" s="32">
        <v>537</v>
      </c>
      <c r="FN11" s="32">
        <v>165.95</v>
      </c>
      <c r="FO11" s="32">
        <v>921.8</v>
      </c>
      <c r="FP11" s="32">
        <v>947.3</v>
      </c>
      <c r="FQ11" s="32">
        <v>1377.2</v>
      </c>
      <c r="FR11" s="32">
        <v>2463.6999999999998</v>
      </c>
      <c r="FS11" s="32">
        <v>15.714610484258399</v>
      </c>
      <c r="FT11" s="32">
        <v>88.39</v>
      </c>
      <c r="FU11" s="32">
        <v>13988</v>
      </c>
      <c r="FV11" s="32">
        <v>2693.43</v>
      </c>
      <c r="FW11" s="32">
        <v>12503</v>
      </c>
      <c r="FX11" s="33">
        <v>1.68647190510757E-13</v>
      </c>
      <c r="FY11" s="32">
        <v>923.77307640531399</v>
      </c>
      <c r="FZ11" s="32">
        <v>3270.1069410253799</v>
      </c>
      <c r="GA11" s="32">
        <v>2042.8184075325801</v>
      </c>
      <c r="GB11" s="32">
        <v>1467.7755360987401</v>
      </c>
      <c r="GC11" s="32">
        <v>2338.65244097502</v>
      </c>
      <c r="GD11" s="32">
        <v>1707.24087243951</v>
      </c>
      <c r="GE11" s="32">
        <v>163.91</v>
      </c>
      <c r="GF11" s="32">
        <v>189.53200000000001</v>
      </c>
      <c r="GG11" s="32">
        <v>120.211</v>
      </c>
      <c r="GH11" s="32">
        <v>259.24999999999898</v>
      </c>
      <c r="GI11" s="32">
        <v>3729.1079999999902</v>
      </c>
      <c r="GJ11" s="32">
        <v>3636.4409999999898</v>
      </c>
      <c r="GK11" s="32">
        <v>4656.6989999999996</v>
      </c>
      <c r="GL11" s="32">
        <v>297.99599999999901</v>
      </c>
      <c r="GM11" s="32">
        <v>608.28899999999999</v>
      </c>
      <c r="GN11" s="32">
        <v>605.19299999999998</v>
      </c>
      <c r="GO11" s="32">
        <v>-91.18</v>
      </c>
      <c r="GP11" s="32">
        <v>3938.8526299999999</v>
      </c>
      <c r="GQ11" s="32">
        <v>35352.3330767757</v>
      </c>
      <c r="GR11" s="32">
        <v>10.3712499999999</v>
      </c>
      <c r="GS11" s="32">
        <v>2.3374255952380598</v>
      </c>
      <c r="GT11" s="32">
        <v>-30.571240043491201</v>
      </c>
      <c r="GU11" s="32">
        <v>4.7817098396764299</v>
      </c>
      <c r="GV11" s="32">
        <v>4.5326334072642203</v>
      </c>
    </row>
    <row r="12" spans="1:204" x14ac:dyDescent="0.25">
      <c r="A12" s="27" t="s">
        <v>203</v>
      </c>
      <c r="B12" s="28" t="s">
        <v>203</v>
      </c>
      <c r="C12" s="28">
        <v>0.08</v>
      </c>
      <c r="D12" s="28">
        <v>0.02</v>
      </c>
      <c r="E12" s="28">
        <v>0.02</v>
      </c>
      <c r="F12" s="28" t="s">
        <v>203</v>
      </c>
      <c r="G12" s="28">
        <v>0.37</v>
      </c>
      <c r="H12" s="28">
        <v>0.18</v>
      </c>
      <c r="I12" s="28">
        <v>0.03</v>
      </c>
      <c r="J12" s="29" t="s">
        <v>203</v>
      </c>
      <c r="K12" s="30">
        <v>0.08</v>
      </c>
      <c r="L12" s="30">
        <v>0.02</v>
      </c>
      <c r="M12" s="30">
        <v>0.02</v>
      </c>
      <c r="N12" s="41" t="s">
        <v>203</v>
      </c>
      <c r="O12" s="30">
        <v>0.37</v>
      </c>
      <c r="P12" s="30">
        <v>0.26</v>
      </c>
      <c r="Q12" s="30">
        <v>0.15</v>
      </c>
      <c r="R12" s="29" t="s">
        <v>203</v>
      </c>
      <c r="S12" s="31">
        <v>1.42</v>
      </c>
      <c r="T12" s="31">
        <v>0.16</v>
      </c>
      <c r="U12" s="31">
        <v>0.18</v>
      </c>
      <c r="V12" s="29" t="s">
        <v>203</v>
      </c>
      <c r="W12" s="31">
        <v>0.37</v>
      </c>
      <c r="X12" s="31">
        <v>0.08</v>
      </c>
      <c r="Y12" s="31">
        <v>0.05</v>
      </c>
      <c r="Z12" s="29" t="s">
        <v>203</v>
      </c>
      <c r="AA12" s="29">
        <v>0.37</v>
      </c>
      <c r="AB12" s="29">
        <v>0.46</v>
      </c>
      <c r="AC12" s="29">
        <v>0.39</v>
      </c>
      <c r="AD12" s="28" t="s">
        <v>203</v>
      </c>
      <c r="AE12" s="28">
        <v>0.08</v>
      </c>
      <c r="AF12" s="28">
        <v>0.02</v>
      </c>
      <c r="AG12" s="28">
        <v>0.02</v>
      </c>
      <c r="AH12" s="28" t="s">
        <v>203</v>
      </c>
      <c r="AI12" s="28">
        <v>0.38</v>
      </c>
      <c r="AJ12" s="28">
        <v>0.22</v>
      </c>
      <c r="AK12" s="28">
        <v>0.03</v>
      </c>
      <c r="AL12" s="32" t="s">
        <v>203</v>
      </c>
      <c r="AM12" s="32">
        <v>12</v>
      </c>
      <c r="AN12" s="32">
        <v>-9.6061749571183006E-2</v>
      </c>
      <c r="AO12" s="32">
        <v>3354.7999999999902</v>
      </c>
      <c r="AP12" s="32">
        <v>3393.9199999999901</v>
      </c>
      <c r="AQ12" s="32">
        <v>584.727000000001</v>
      </c>
      <c r="AR12" s="32">
        <v>267.48786773549</v>
      </c>
      <c r="AS12" s="32">
        <v>-56.800800000000002</v>
      </c>
      <c r="AT12" s="32">
        <v>87.273199999999903</v>
      </c>
      <c r="AU12" s="32">
        <v>2.3091788334905099E-2</v>
      </c>
      <c r="AV12" s="32">
        <v>-556.17914285714301</v>
      </c>
      <c r="AW12" s="32">
        <v>630.69160618178603</v>
      </c>
      <c r="AX12" s="32">
        <v>-11.000000000025601</v>
      </c>
      <c r="AY12" s="32">
        <v>2.0935657341785399E-3</v>
      </c>
      <c r="AZ12" s="32">
        <v>2.47174435102516E-2</v>
      </c>
      <c r="BA12" s="32">
        <v>4.0064141242616702E-2</v>
      </c>
      <c r="BB12" s="32">
        <v>0.43498435222042903</v>
      </c>
      <c r="BC12" s="32">
        <v>1591.2038020175701</v>
      </c>
      <c r="BD12" s="32">
        <v>2384.4302124098599</v>
      </c>
      <c r="BE12" s="32">
        <v>1096.2462440888401</v>
      </c>
      <c r="BF12" s="32">
        <v>314.27204765891901</v>
      </c>
      <c r="BG12" s="32">
        <v>0.56501564777957503</v>
      </c>
      <c r="BH12" s="32">
        <v>11.3765120664264</v>
      </c>
      <c r="BI12" s="32">
        <v>9693.1558247006906</v>
      </c>
      <c r="BJ12" s="32">
        <v>7890.2783353198001</v>
      </c>
      <c r="BK12" s="32">
        <v>6941.8320514343504</v>
      </c>
      <c r="BL12" s="32">
        <v>7.1321629679177795E-2</v>
      </c>
      <c r="BM12" s="32">
        <v>0.41939845550726601</v>
      </c>
      <c r="BN12" s="32">
        <v>7875.5612783768902</v>
      </c>
      <c r="BO12" s="32">
        <v>6035.8293993655698</v>
      </c>
      <c r="BP12" s="32">
        <v>5400.8768467528898</v>
      </c>
      <c r="BQ12" s="32">
        <v>7.7787831797001203E-2</v>
      </c>
      <c r="BR12" s="32">
        <v>0.58060154449273604</v>
      </c>
      <c r="BS12" s="32">
        <v>27842.9279999998</v>
      </c>
      <c r="BT12" s="32">
        <v>-37.865095473370403</v>
      </c>
      <c r="BU12" s="32">
        <v>-217.32268386356401</v>
      </c>
      <c r="BV12" s="32">
        <v>26.8733039358669</v>
      </c>
      <c r="BW12" s="32">
        <v>613.08999999999799</v>
      </c>
      <c r="BX12" s="32">
        <v>626.47199999999998</v>
      </c>
      <c r="BY12" s="32">
        <v>629.29000000000201</v>
      </c>
      <c r="BZ12" s="32">
        <v>576.07000000000005</v>
      </c>
      <c r="CA12" s="32">
        <v>-5.4909895848719099</v>
      </c>
      <c r="CB12" s="32">
        <v>-556.17914285714301</v>
      </c>
      <c r="CC12" s="32">
        <v>254.10999999999899</v>
      </c>
      <c r="CD12" s="32">
        <v>73129.100000000006</v>
      </c>
      <c r="CE12" s="32">
        <v>0.52202463008246602</v>
      </c>
      <c r="CF12" s="32">
        <v>1.39798276412245</v>
      </c>
      <c r="CG12" s="32">
        <v>1.12797217032284</v>
      </c>
      <c r="CH12" s="32">
        <v>170.55509591573701</v>
      </c>
      <c r="CI12" s="32">
        <v>119.137865571574</v>
      </c>
      <c r="CJ12" s="32">
        <v>160.79048803531199</v>
      </c>
      <c r="CK12" s="32">
        <v>562.92000000000201</v>
      </c>
      <c r="CL12" s="32">
        <v>562.39700000000005</v>
      </c>
      <c r="CM12" s="32">
        <v>556.88999999999896</v>
      </c>
      <c r="CN12" s="32">
        <v>554.19999999999902</v>
      </c>
      <c r="CO12" s="32">
        <v>567.02599999999995</v>
      </c>
      <c r="CP12" s="32">
        <v>556.11</v>
      </c>
      <c r="CQ12" s="32">
        <v>8953.3099999999795</v>
      </c>
      <c r="CR12" s="32">
        <v>563.16899999999998</v>
      </c>
      <c r="CS12" s="32">
        <v>1</v>
      </c>
      <c r="CT12" s="32">
        <v>95.919970512800901</v>
      </c>
      <c r="CU12" s="32">
        <v>0.42372520646989797</v>
      </c>
      <c r="CV12" s="32">
        <v>6.1528683143001299E-2</v>
      </c>
      <c r="CW12" s="32">
        <v>0.90369860603673002</v>
      </c>
      <c r="CX12" s="32">
        <v>630.69160618178603</v>
      </c>
      <c r="CY12" s="32">
        <v>17.276</v>
      </c>
      <c r="CZ12" s="32">
        <v>12122.54</v>
      </c>
      <c r="DA12" s="32">
        <v>83.311999999999799</v>
      </c>
      <c r="DB12" s="33">
        <v>7.5290250172729395E-11</v>
      </c>
      <c r="DC12" s="32">
        <v>-1.9745293139074901E-4</v>
      </c>
      <c r="DD12" s="32">
        <v>58.290999999999997</v>
      </c>
      <c r="DE12" s="32">
        <v>-11</v>
      </c>
      <c r="DF12" s="32">
        <v>674.09999999999798</v>
      </c>
      <c r="DG12" s="32">
        <v>1222.0999999999899</v>
      </c>
      <c r="DH12" s="32">
        <v>810.20000000000198</v>
      </c>
      <c r="DI12" s="32">
        <v>-7.8999999999999702</v>
      </c>
      <c r="DJ12" s="32">
        <v>44.879458732641602</v>
      </c>
      <c r="DK12" s="32">
        <v>0.92748852876034205</v>
      </c>
      <c r="DL12" s="32">
        <v>0.23160801450142701</v>
      </c>
      <c r="DM12" s="32">
        <v>0.29346678966568002</v>
      </c>
      <c r="DN12" s="32">
        <v>131.159999999999</v>
      </c>
      <c r="DO12" s="32">
        <v>286.62799999999999</v>
      </c>
      <c r="DP12" s="32">
        <v>-11.06</v>
      </c>
      <c r="DQ12" s="32">
        <v>158.28</v>
      </c>
      <c r="DR12" s="32">
        <v>-53.730000000000103</v>
      </c>
      <c r="DS12" s="32">
        <v>185.01999999999899</v>
      </c>
      <c r="DT12" s="32">
        <v>19.139999999999901</v>
      </c>
      <c r="DU12" s="32">
        <v>163.599999999999</v>
      </c>
      <c r="DV12" s="32">
        <v>1071.5999999999899</v>
      </c>
      <c r="DW12" s="32">
        <v>23.979999999999901</v>
      </c>
      <c r="DX12" s="32">
        <v>-87.250000000000497</v>
      </c>
      <c r="DY12" s="32">
        <v>918.79999999999802</v>
      </c>
      <c r="DZ12" s="32">
        <v>-124.7</v>
      </c>
      <c r="EA12" s="32">
        <v>-279.19999999999902</v>
      </c>
      <c r="EB12" s="32">
        <v>7440.5799999999899</v>
      </c>
      <c r="EC12" s="32">
        <v>3142.8299999999799</v>
      </c>
      <c r="ED12" s="32">
        <v>479.96</v>
      </c>
      <c r="EE12" s="32">
        <v>2482.2999999999902</v>
      </c>
      <c r="EF12" s="32">
        <v>418.06</v>
      </c>
      <c r="EG12" s="32">
        <v>-374.21</v>
      </c>
      <c r="EH12" s="32">
        <v>-66.250000000000099</v>
      </c>
      <c r="EI12" s="32">
        <v>33.26</v>
      </c>
      <c r="EJ12" s="32">
        <v>50.129999999999697</v>
      </c>
      <c r="EK12" s="32">
        <v>-2700.4499999999898</v>
      </c>
      <c r="EL12" s="32">
        <v>1591.2038020175701</v>
      </c>
      <c r="EM12" s="32">
        <v>1054.86204970475</v>
      </c>
      <c r="EN12" s="32">
        <v>4.4737858443592096</v>
      </c>
      <c r="EO12" s="32">
        <v>6.3284831508325201</v>
      </c>
      <c r="EP12" s="32">
        <v>5.0165396600588199</v>
      </c>
      <c r="EQ12" s="32">
        <v>1E-3</v>
      </c>
      <c r="ER12" s="32">
        <v>369.41002038596002</v>
      </c>
      <c r="ES12" s="32">
        <v>762.92113170388495</v>
      </c>
      <c r="ET12" s="32">
        <v>1473.0199062988399</v>
      </c>
      <c r="EU12" s="32">
        <v>670.35043480225602</v>
      </c>
      <c r="EV12" s="32">
        <v>513.92453557956503</v>
      </c>
      <c r="EW12" s="32">
        <v>1257.1307783719899</v>
      </c>
      <c r="EX12" s="32">
        <v>76870</v>
      </c>
      <c r="EY12" s="32">
        <v>66.418353989997499</v>
      </c>
      <c r="EZ12" s="32">
        <v>-2.6016137599945002</v>
      </c>
      <c r="FA12" s="32">
        <v>-3.8674738407135001</v>
      </c>
      <c r="FB12" s="32">
        <v>27</v>
      </c>
      <c r="FC12" s="32">
        <v>3</v>
      </c>
      <c r="FD12" s="32">
        <v>2</v>
      </c>
      <c r="FE12" s="32">
        <v>59</v>
      </c>
      <c r="FF12" s="32">
        <v>5</v>
      </c>
      <c r="FG12" s="32">
        <v>2</v>
      </c>
      <c r="FH12" s="32">
        <v>44</v>
      </c>
      <c r="FI12" s="32">
        <v>5</v>
      </c>
      <c r="FJ12" s="32">
        <v>3</v>
      </c>
      <c r="FK12" s="32">
        <v>521</v>
      </c>
      <c r="FL12" s="32">
        <v>1906</v>
      </c>
      <c r="FM12" s="32">
        <v>1907</v>
      </c>
      <c r="FN12" s="32">
        <v>546.969999999999</v>
      </c>
      <c r="FO12" s="32">
        <v>3341.3</v>
      </c>
      <c r="FP12" s="32">
        <v>3183.6999999999898</v>
      </c>
      <c r="FQ12" s="32">
        <v>5068.3</v>
      </c>
      <c r="FR12" s="32">
        <v>10308.959999999901</v>
      </c>
      <c r="FS12" s="32">
        <v>26.543805347949601</v>
      </c>
      <c r="FT12" s="32">
        <v>377.349999999999</v>
      </c>
      <c r="FU12" s="32">
        <v>50413</v>
      </c>
      <c r="FV12" s="32">
        <v>10094.85</v>
      </c>
      <c r="FW12" s="32">
        <v>43012</v>
      </c>
      <c r="FX12" s="33">
        <v>3.6621694781661102E-13</v>
      </c>
      <c r="FY12" s="32">
        <v>2403.9169430604902</v>
      </c>
      <c r="FZ12" s="32">
        <v>9826.6082747805704</v>
      </c>
      <c r="GA12" s="32">
        <v>7980.15661328428</v>
      </c>
      <c r="GB12" s="32">
        <v>4604.9875897249103</v>
      </c>
      <c r="GC12" s="32">
        <v>7029.1340687228903</v>
      </c>
      <c r="GD12" s="32">
        <v>7074.7814735537604</v>
      </c>
      <c r="GE12" s="32">
        <v>568</v>
      </c>
      <c r="GF12" s="32">
        <v>688.20600000000002</v>
      </c>
      <c r="GG12" s="32">
        <v>642.94299999999896</v>
      </c>
      <c r="GH12" s="32">
        <v>1115.5029999999999</v>
      </c>
      <c r="GI12" s="32">
        <v>12111.237999999899</v>
      </c>
      <c r="GJ12" s="32">
        <v>11691.7139999999</v>
      </c>
      <c r="GK12" s="32">
        <v>15731.6899999999</v>
      </c>
      <c r="GL12" s="32">
        <v>928.94000000000199</v>
      </c>
      <c r="GM12" s="32">
        <v>1985.8029999999901</v>
      </c>
      <c r="GN12" s="32">
        <v>2165.8409999999999</v>
      </c>
      <c r="GO12" s="32">
        <v>-448.12999999999801</v>
      </c>
      <c r="GP12" s="32">
        <v>13094.6815183332</v>
      </c>
      <c r="GQ12" s="32">
        <v>125795.984631721</v>
      </c>
      <c r="GR12" s="32">
        <v>9.0573514579780401</v>
      </c>
      <c r="GS12" s="32">
        <v>-1.9224631791748299</v>
      </c>
      <c r="GT12" s="32">
        <v>-38.205634674094298</v>
      </c>
      <c r="GU12" s="32">
        <v>5.7061731211076197</v>
      </c>
      <c r="GV12" s="32">
        <v>5.7352768184504699</v>
      </c>
    </row>
    <row r="13" spans="1:204" x14ac:dyDescent="0.25">
      <c r="A13" s="27" t="s">
        <v>204</v>
      </c>
      <c r="B13" s="28" t="s">
        <v>204</v>
      </c>
      <c r="C13" s="28">
        <v>0.16</v>
      </c>
      <c r="D13" s="28">
        <v>0.14000000000000001</v>
      </c>
      <c r="E13" s="28">
        <v>0.02</v>
      </c>
      <c r="F13" s="28" t="s">
        <v>204</v>
      </c>
      <c r="G13" s="28">
        <v>0.27</v>
      </c>
      <c r="H13" s="28">
        <v>0.21</v>
      </c>
      <c r="I13" s="28">
        <v>0.03</v>
      </c>
      <c r="J13" s="29" t="s">
        <v>204</v>
      </c>
      <c r="K13" s="30">
        <v>0.16</v>
      </c>
      <c r="L13" s="30">
        <v>0.14000000000000001</v>
      </c>
      <c r="M13" s="30">
        <v>0.1</v>
      </c>
      <c r="N13" s="41" t="s">
        <v>204</v>
      </c>
      <c r="O13" s="30">
        <v>0.26</v>
      </c>
      <c r="P13" s="30">
        <v>0.37</v>
      </c>
      <c r="Q13" s="30">
        <v>0.36</v>
      </c>
      <c r="R13" s="29" t="s">
        <v>204</v>
      </c>
      <c r="S13" s="31">
        <v>0.56000000000000005</v>
      </c>
      <c r="T13" s="31">
        <v>0.2</v>
      </c>
      <c r="U13" s="31">
        <v>0.09</v>
      </c>
      <c r="V13" s="29" t="s">
        <v>204</v>
      </c>
      <c r="W13" s="31">
        <v>0.26</v>
      </c>
      <c r="X13" s="31">
        <v>0.16</v>
      </c>
      <c r="Y13" s="31">
        <v>0.15</v>
      </c>
      <c r="Z13" s="29" t="s">
        <v>204</v>
      </c>
      <c r="AA13" s="29">
        <v>0.26</v>
      </c>
      <c r="AB13" s="29">
        <v>0.44</v>
      </c>
      <c r="AC13" s="29">
        <v>0.37</v>
      </c>
      <c r="AD13" s="28" t="s">
        <v>204</v>
      </c>
      <c r="AE13" s="28">
        <v>0.17</v>
      </c>
      <c r="AF13" s="28">
        <v>0.14000000000000001</v>
      </c>
      <c r="AG13" s="28">
        <v>0.11</v>
      </c>
      <c r="AH13" s="28" t="s">
        <v>204</v>
      </c>
      <c r="AI13" s="28">
        <v>0.26</v>
      </c>
      <c r="AJ13" s="28">
        <v>0.21</v>
      </c>
      <c r="AK13" s="28">
        <v>0.23</v>
      </c>
      <c r="AL13" s="32" t="s">
        <v>204</v>
      </c>
      <c r="AM13" s="32">
        <v>9</v>
      </c>
      <c r="AN13" s="32">
        <v>6.0300448430493099E-2</v>
      </c>
      <c r="AO13" s="32">
        <v>1284.7</v>
      </c>
      <c r="AP13" s="32">
        <v>1277.6899999999901</v>
      </c>
      <c r="AQ13" s="32">
        <v>223.47399999999899</v>
      </c>
      <c r="AR13" s="32">
        <v>78.260134711150101</v>
      </c>
      <c r="AS13" s="32">
        <v>12.152999999999899</v>
      </c>
      <c r="AT13" s="32">
        <v>42.642800000000001</v>
      </c>
      <c r="AU13" s="32">
        <v>2.40841465549433E-2</v>
      </c>
      <c r="AV13" s="32">
        <v>-443.29619047619002</v>
      </c>
      <c r="AW13" s="32">
        <v>212.137690822639</v>
      </c>
      <c r="AX13" s="32">
        <v>8.00000000000116</v>
      </c>
      <c r="AY13" s="32">
        <v>5.0107566505286803E-3</v>
      </c>
      <c r="AZ13" s="32">
        <v>2.1644125925120598E-2</v>
      </c>
      <c r="BA13" s="32">
        <v>4.1061382699522399E-2</v>
      </c>
      <c r="BB13" s="32">
        <v>0.47111469027513703</v>
      </c>
      <c r="BC13" s="32">
        <v>687.19489567702897</v>
      </c>
      <c r="BD13" s="32">
        <v>624.46476433980195</v>
      </c>
      <c r="BE13" s="32">
        <v>441.51248191551201</v>
      </c>
      <c r="BF13" s="32">
        <v>209.69380518413999</v>
      </c>
      <c r="BG13" s="32">
        <v>0.52888530972486403</v>
      </c>
      <c r="BH13" s="32">
        <v>1.27596717447089</v>
      </c>
      <c r="BI13" s="32">
        <v>1229.9901363558899</v>
      </c>
      <c r="BJ13" s="32">
        <v>445.01733105143597</v>
      </c>
      <c r="BK13" s="32">
        <v>304.08935487384099</v>
      </c>
      <c r="BL13" s="32">
        <v>1.49825674495248E-2</v>
      </c>
      <c r="BM13" s="32">
        <v>0.471845448427687</v>
      </c>
      <c r="BN13" s="32">
        <v>2643.1733031453</v>
      </c>
      <c r="BO13" s="32">
        <v>1676.07910042915</v>
      </c>
      <c r="BP13" s="32">
        <v>1432.9916046393701</v>
      </c>
      <c r="BQ13" s="32">
        <v>6.5876944268277907E-2</v>
      </c>
      <c r="BR13" s="32">
        <v>0.52815455157231195</v>
      </c>
      <c r="BS13" s="32">
        <v>9134.3489999999892</v>
      </c>
      <c r="BT13" s="32">
        <v>26.9744596178476</v>
      </c>
      <c r="BU13" s="32">
        <v>-72.842436620631602</v>
      </c>
      <c r="BV13" s="32">
        <v>24.713249692018302</v>
      </c>
      <c r="BW13" s="32">
        <v>205.35999999999899</v>
      </c>
      <c r="BX13" s="32">
        <v>207.236999999999</v>
      </c>
      <c r="BY13" s="32">
        <v>213.04999999999899</v>
      </c>
      <c r="BZ13" s="32">
        <v>226.62</v>
      </c>
      <c r="CA13" s="32">
        <v>2.47783791040789</v>
      </c>
      <c r="CB13" s="32">
        <v>-443.29619047619002</v>
      </c>
      <c r="CC13" s="32">
        <v>100.16</v>
      </c>
      <c r="CD13" s="32">
        <v>26054.999999999902</v>
      </c>
      <c r="CE13" s="32">
        <v>0.57883049169537404</v>
      </c>
      <c r="CF13" s="32">
        <v>0.96060526704270699</v>
      </c>
      <c r="CG13" s="32">
        <v>1.0879852594480901</v>
      </c>
      <c r="CH13" s="32">
        <v>107.883875037537</v>
      </c>
      <c r="CI13" s="32">
        <v>47.901011539220498</v>
      </c>
      <c r="CJ13" s="32">
        <v>153.50030415009201</v>
      </c>
      <c r="CK13" s="32">
        <v>228.759999999999</v>
      </c>
      <c r="CL13" s="32">
        <v>228.608</v>
      </c>
      <c r="CM13" s="32">
        <v>221.79999999999899</v>
      </c>
      <c r="CN13" s="32">
        <v>239.71</v>
      </c>
      <c r="CO13" s="32">
        <v>234.86500000000001</v>
      </c>
      <c r="CP13" s="32">
        <v>231.88999999999899</v>
      </c>
      <c r="CQ13" s="32">
        <v>3136.36</v>
      </c>
      <c r="CR13" s="32">
        <v>229.00199999999899</v>
      </c>
      <c r="CS13" s="32">
        <v>1</v>
      </c>
      <c r="CT13" s="32">
        <v>95.919970512800901</v>
      </c>
      <c r="CU13" s="32">
        <v>0.232767722857393</v>
      </c>
      <c r="CV13" s="32">
        <v>2.4164652843541402E-2</v>
      </c>
      <c r="CW13" s="32">
        <v>0.97223210024599305</v>
      </c>
      <c r="CX13" s="32">
        <v>212.137690822639</v>
      </c>
      <c r="CY13" s="32">
        <v>-4.8479999999999901</v>
      </c>
      <c r="CZ13" s="32">
        <v>4610.3900000000003</v>
      </c>
      <c r="DA13" s="32">
        <v>17.459</v>
      </c>
      <c r="DB13" s="33">
        <v>4.8121430031190198E-11</v>
      </c>
      <c r="DC13" s="32">
        <v>1.40438198942678E-4</v>
      </c>
      <c r="DD13" s="32">
        <v>45.769999999999897</v>
      </c>
      <c r="DE13" s="32">
        <v>8</v>
      </c>
      <c r="DF13" s="32">
        <v>347.5</v>
      </c>
      <c r="DG13" s="32">
        <v>297.39999999999998</v>
      </c>
      <c r="DH13" s="32">
        <v>238.29999999999899</v>
      </c>
      <c r="DI13" s="32">
        <v>429.9</v>
      </c>
      <c r="DJ13" s="32">
        <v>28.684507333762902</v>
      </c>
      <c r="DK13" s="32">
        <v>0.272034244951534</v>
      </c>
      <c r="DL13" s="32">
        <v>0.936327565098656</v>
      </c>
      <c r="DM13" s="32">
        <v>0.22200914487936901</v>
      </c>
      <c r="DN13" s="32">
        <v>57.279999999999802</v>
      </c>
      <c r="DO13" s="32">
        <v>120.946</v>
      </c>
      <c r="DP13" s="32">
        <v>5.8799999999999901</v>
      </c>
      <c r="DQ13" s="32">
        <v>66.089999999999904</v>
      </c>
      <c r="DR13" s="32">
        <v>26.49</v>
      </c>
      <c r="DS13" s="32">
        <v>93.32</v>
      </c>
      <c r="DT13" s="32">
        <v>-4.8099999999999898</v>
      </c>
      <c r="DU13" s="32">
        <v>-55.499999999999901</v>
      </c>
      <c r="DV13" s="32">
        <v>429.49999999999898</v>
      </c>
      <c r="DW13" s="32">
        <v>23.1299999999999</v>
      </c>
      <c r="DX13" s="32">
        <v>15.73</v>
      </c>
      <c r="DY13" s="32">
        <v>393.79999999999899</v>
      </c>
      <c r="DZ13" s="32">
        <v>-7.8</v>
      </c>
      <c r="EA13" s="32">
        <v>-13.3</v>
      </c>
      <c r="EB13" s="32">
        <v>2860.93</v>
      </c>
      <c r="EC13" s="32">
        <v>1211.1300000000001</v>
      </c>
      <c r="ED13" s="32">
        <v>208.79</v>
      </c>
      <c r="EE13" s="32">
        <v>1002.5</v>
      </c>
      <c r="EF13" s="32">
        <v>162.27999999999901</v>
      </c>
      <c r="EG13" s="32">
        <v>-55.61</v>
      </c>
      <c r="EH13" s="32">
        <v>-16.97</v>
      </c>
      <c r="EI13" s="32">
        <v>50.169999999999902</v>
      </c>
      <c r="EJ13" s="32">
        <v>-85.58</v>
      </c>
      <c r="EK13" s="32">
        <v>-699.78</v>
      </c>
      <c r="EL13" s="32">
        <v>687.19489567702897</v>
      </c>
      <c r="EM13" s="32">
        <v>235.602012133221</v>
      </c>
      <c r="EN13" s="32">
        <v>0.66708068194430403</v>
      </c>
      <c r="EO13" s="32">
        <v>0.79795380498362201</v>
      </c>
      <c r="EP13" s="32">
        <v>0.54671930302473404</v>
      </c>
      <c r="EQ13" s="32">
        <v>1E-3</v>
      </c>
      <c r="ER13" s="32">
        <v>129.16270267912401</v>
      </c>
      <c r="ES13" s="32">
        <v>212.48342982314699</v>
      </c>
      <c r="ET13" s="32">
        <v>449.99485972430699</v>
      </c>
      <c r="EU13" s="32">
        <v>231.01577921090399</v>
      </c>
      <c r="EV13" s="32">
        <v>201.82939663936801</v>
      </c>
      <c r="EW13" s="32">
        <v>492.30318741023399</v>
      </c>
      <c r="EX13" s="32">
        <v>27278</v>
      </c>
      <c r="EY13" s="32">
        <v>23.3015509099979</v>
      </c>
      <c r="EZ13" s="32">
        <v>8.4190359115600497</v>
      </c>
      <c r="FA13" s="32">
        <v>8.9974517822265607</v>
      </c>
      <c r="FB13" s="32">
        <v>10</v>
      </c>
      <c r="FC13" s="32">
        <v>0</v>
      </c>
      <c r="FD13" s="32">
        <v>0</v>
      </c>
      <c r="FE13" s="32">
        <v>27</v>
      </c>
      <c r="FF13" s="32">
        <v>0</v>
      </c>
      <c r="FG13" s="32">
        <v>0</v>
      </c>
      <c r="FH13" s="32">
        <v>16</v>
      </c>
      <c r="FI13" s="32">
        <v>3</v>
      </c>
      <c r="FJ13" s="32">
        <v>0</v>
      </c>
      <c r="FK13" s="32">
        <v>158</v>
      </c>
      <c r="FL13" s="32">
        <v>460</v>
      </c>
      <c r="FM13" s="32">
        <v>791</v>
      </c>
      <c r="FN13" s="32">
        <v>229.55999999999901</v>
      </c>
      <c r="FO13" s="32">
        <v>1339.1</v>
      </c>
      <c r="FP13" s="32">
        <v>1510.6</v>
      </c>
      <c r="FQ13" s="32">
        <v>1852.9</v>
      </c>
      <c r="FR13" s="32">
        <v>1677.15</v>
      </c>
      <c r="FS13" s="32">
        <v>16.8408416259403</v>
      </c>
      <c r="FT13" s="32">
        <v>162.319999999999</v>
      </c>
      <c r="FU13" s="32">
        <v>20070</v>
      </c>
      <c r="FV13" s="32">
        <v>3251.72999999999</v>
      </c>
      <c r="FW13" s="32">
        <v>17644</v>
      </c>
      <c r="FX13" s="33">
        <v>2.01018197053708E-13</v>
      </c>
      <c r="FY13" s="32">
        <v>624.46476433980195</v>
      </c>
      <c r="FZ13" s="32">
        <v>1242.3770274937101</v>
      </c>
      <c r="GA13" s="32">
        <v>2672.0970917775999</v>
      </c>
      <c r="GB13" s="32">
        <v>1078.83875037537</v>
      </c>
      <c r="GC13" s="32">
        <v>1293.32731155895</v>
      </c>
      <c r="GD13" s="32">
        <v>2456.0048664014698</v>
      </c>
      <c r="GE13" s="32">
        <v>226.909999999999</v>
      </c>
      <c r="GF13" s="32">
        <v>197.70499999999899</v>
      </c>
      <c r="GG13" s="32">
        <v>219.992999999999</v>
      </c>
      <c r="GH13" s="32">
        <v>375.06900000000002</v>
      </c>
      <c r="GI13" s="32">
        <v>4303.326</v>
      </c>
      <c r="GJ13" s="32">
        <v>4126.7290000000003</v>
      </c>
      <c r="GK13" s="32">
        <v>4831.0230000000001</v>
      </c>
      <c r="GL13" s="32">
        <v>364.54500000000002</v>
      </c>
      <c r="GM13" s="32">
        <v>136.85599999999999</v>
      </c>
      <c r="GN13" s="32">
        <v>601.74299999999903</v>
      </c>
      <c r="GO13" s="32">
        <v>-69.599999999999994</v>
      </c>
      <c r="GP13" s="32">
        <v>4330.9464416666697</v>
      </c>
      <c r="GQ13" s="32">
        <v>43869.041589984401</v>
      </c>
      <c r="GR13" s="32">
        <v>3.6660533632285999</v>
      </c>
      <c r="GS13" s="32">
        <v>-1.51329322885369</v>
      </c>
      <c r="GT13" s="32">
        <v>27.226719372442901</v>
      </c>
      <c r="GU13" s="32">
        <v>9.7326234362214201</v>
      </c>
      <c r="GV13" s="32">
        <v>9.5310867473749799</v>
      </c>
    </row>
    <row r="14" spans="1:204" x14ac:dyDescent="0.25">
      <c r="A14" s="27" t="s">
        <v>205</v>
      </c>
      <c r="B14" s="28" t="s">
        <v>205</v>
      </c>
      <c r="C14" s="28">
        <v>0.14000000000000001</v>
      </c>
      <c r="D14" s="28">
        <v>0.02</v>
      </c>
      <c r="E14" s="28">
        <v>0.02</v>
      </c>
      <c r="F14" s="28" t="s">
        <v>205</v>
      </c>
      <c r="G14" s="28">
        <v>0.32</v>
      </c>
      <c r="H14" s="28">
        <v>0.19</v>
      </c>
      <c r="I14" s="28">
        <v>0.03</v>
      </c>
      <c r="J14" s="29" t="s">
        <v>205</v>
      </c>
      <c r="K14" s="30">
        <v>0.13</v>
      </c>
      <c r="L14" s="30">
        <v>0.08</v>
      </c>
      <c r="M14" s="30">
        <v>0.02</v>
      </c>
      <c r="N14" s="41" t="s">
        <v>205</v>
      </c>
      <c r="O14" s="30">
        <v>0.33</v>
      </c>
      <c r="P14" s="30">
        <v>0.23</v>
      </c>
      <c r="Q14" s="30">
        <v>7.0000000000000007E-2</v>
      </c>
      <c r="R14" s="29"/>
      <c r="S14" s="31"/>
      <c r="T14" s="31"/>
      <c r="U14" s="31"/>
      <c r="V14" s="29" t="s">
        <v>205</v>
      </c>
      <c r="W14" s="31">
        <v>0.32</v>
      </c>
      <c r="X14" s="31">
        <v>0.14000000000000001</v>
      </c>
      <c r="Y14" s="31">
        <v>0.1</v>
      </c>
      <c r="Z14" s="29" t="s">
        <v>205</v>
      </c>
      <c r="AA14" s="29">
        <v>0.32</v>
      </c>
      <c r="AB14" s="29">
        <v>0.47</v>
      </c>
      <c r="AC14" s="29">
        <v>0.37</v>
      </c>
      <c r="AD14" s="28" t="s">
        <v>205</v>
      </c>
      <c r="AE14" s="28">
        <v>0.14000000000000001</v>
      </c>
      <c r="AF14" s="28">
        <v>0.12</v>
      </c>
      <c r="AG14" s="28">
        <v>0.02</v>
      </c>
      <c r="AH14" s="28" t="s">
        <v>205</v>
      </c>
      <c r="AI14" s="28">
        <v>0.32</v>
      </c>
      <c r="AJ14" s="28">
        <v>0.27</v>
      </c>
      <c r="AK14" s="28">
        <v>0.21</v>
      </c>
      <c r="AL14" s="32" t="s">
        <v>205</v>
      </c>
      <c r="AM14" s="32">
        <v>7</v>
      </c>
      <c r="AN14" s="32">
        <v>-1.8420233463035E-2</v>
      </c>
      <c r="AO14" s="32">
        <v>1390.9</v>
      </c>
      <c r="AP14" s="32">
        <v>1393.32</v>
      </c>
      <c r="AQ14" s="32">
        <v>239.58099999999899</v>
      </c>
      <c r="AR14" s="32">
        <v>175.552492092162</v>
      </c>
      <c r="AS14" s="32">
        <v>-5.8052000000000099</v>
      </c>
      <c r="AT14" s="32">
        <v>46.495999999999903</v>
      </c>
      <c r="AU14" s="32">
        <v>2.88388706941726E-2</v>
      </c>
      <c r="AV14" s="32">
        <v>-471.21180952380899</v>
      </c>
      <c r="AW14" s="32">
        <v>472.12550940720899</v>
      </c>
      <c r="AX14" s="32">
        <v>-15.999999999998</v>
      </c>
      <c r="AY14" s="32">
        <v>3.8980301521914801E-3</v>
      </c>
      <c r="AZ14" s="32">
        <v>2.06820931702483E-2</v>
      </c>
      <c r="BA14" s="32">
        <v>2.7639758957199601E-2</v>
      </c>
      <c r="BB14" s="32">
        <v>0.41772046057761802</v>
      </c>
      <c r="BC14" s="32">
        <v>1131.5323752372999</v>
      </c>
      <c r="BD14" s="32">
        <v>1006.27372170038</v>
      </c>
      <c r="BE14" s="32">
        <v>678.611353929389</v>
      </c>
      <c r="BF14" s="32">
        <v>288.15560040054299</v>
      </c>
      <c r="BG14" s="32">
        <v>0.58227953942238198</v>
      </c>
      <c r="BH14" s="32">
        <v>2.67709303001772</v>
      </c>
      <c r="BI14" s="32">
        <v>3717.409357085</v>
      </c>
      <c r="BJ14" s="32">
        <v>2552.2283089924999</v>
      </c>
      <c r="BK14" s="32">
        <v>2018.4340981319799</v>
      </c>
      <c r="BL14" s="32">
        <v>4.9353901856572402E-2</v>
      </c>
      <c r="BM14" s="32">
        <v>0.40927315855401603</v>
      </c>
      <c r="BN14" s="32">
        <v>1454.46176627658</v>
      </c>
      <c r="BO14" s="32">
        <v>802.28979367556997</v>
      </c>
      <c r="BP14" s="32">
        <v>525.99043259420205</v>
      </c>
      <c r="BQ14" s="32">
        <v>1.9239307656358399E-2</v>
      </c>
      <c r="BR14" s="32">
        <v>0.59027008858121099</v>
      </c>
      <c r="BS14" s="32">
        <v>11995.546</v>
      </c>
      <c r="BT14" s="32">
        <v>-54.077741430313097</v>
      </c>
      <c r="BU14" s="32">
        <v>-120.218743757263</v>
      </c>
      <c r="BV14" s="32">
        <v>21.639834589329698</v>
      </c>
      <c r="BW14" s="32">
        <v>234.10999999999899</v>
      </c>
      <c r="BX14" s="32">
        <v>234.19699999999901</v>
      </c>
      <c r="BY14" s="32">
        <v>235.89</v>
      </c>
      <c r="BZ14" s="32">
        <v>237.63</v>
      </c>
      <c r="CA14" s="32">
        <v>-5.3529249757387198</v>
      </c>
      <c r="CB14" s="32">
        <v>-471.21180952380899</v>
      </c>
      <c r="CC14" s="32">
        <v>105</v>
      </c>
      <c r="CD14" s="32">
        <v>29696.699999999899</v>
      </c>
      <c r="CE14" s="32">
        <v>0.52065534413701098</v>
      </c>
      <c r="CF14" s="32">
        <v>1.22413027346267</v>
      </c>
      <c r="CG14" s="32">
        <v>0.835969535287718</v>
      </c>
      <c r="CH14" s="32">
        <v>148.66969439894899</v>
      </c>
      <c r="CI14" s="32">
        <v>156.51143947410199</v>
      </c>
      <c r="CJ14" s="32">
        <v>96.658344651279705</v>
      </c>
      <c r="CK14" s="32">
        <v>239.12</v>
      </c>
      <c r="CL14" s="32">
        <v>232.73699999999999</v>
      </c>
      <c r="CM14" s="32">
        <v>237.14999999999901</v>
      </c>
      <c r="CN14" s="32">
        <v>242.45</v>
      </c>
      <c r="CO14" s="32">
        <v>237.971</v>
      </c>
      <c r="CP14" s="32">
        <v>245.80999999999901</v>
      </c>
      <c r="CQ14" s="32">
        <v>3591.45</v>
      </c>
      <c r="CR14" s="32">
        <v>245.26199999999901</v>
      </c>
      <c r="CS14" s="32">
        <v>1</v>
      </c>
      <c r="CT14" s="32">
        <v>95.919970512800901</v>
      </c>
      <c r="CU14" s="32">
        <v>0.99920884413549804</v>
      </c>
      <c r="CV14" s="32">
        <v>7.2297135195705997E-3</v>
      </c>
      <c r="CW14" s="32">
        <v>3.9107761938348501E-2</v>
      </c>
      <c r="CX14" s="32">
        <v>472.12550940720899</v>
      </c>
      <c r="CY14" s="32">
        <v>2.6249999999999898</v>
      </c>
      <c r="CZ14" s="32">
        <v>5007.8899999999903</v>
      </c>
      <c r="DA14" s="32">
        <v>16.8829999999999</v>
      </c>
      <c r="DB14" s="33">
        <v>5.1686416906789202E-11</v>
      </c>
      <c r="DC14" s="32">
        <v>-2.8159913227510097E-4</v>
      </c>
      <c r="DD14" s="32">
        <v>46.759</v>
      </c>
      <c r="DE14" s="32">
        <v>-16</v>
      </c>
      <c r="DF14" s="32">
        <v>638.29999999999905</v>
      </c>
      <c r="DG14" s="32">
        <v>894.69999999999902</v>
      </c>
      <c r="DH14" s="32">
        <v>803.9</v>
      </c>
      <c r="DI14" s="32">
        <v>428.5</v>
      </c>
      <c r="DJ14" s="32">
        <v>30.809545848030002</v>
      </c>
      <c r="DK14" s="32">
        <v>0.67465469742793605</v>
      </c>
      <c r="DL14" s="32">
        <v>0.73375211013149599</v>
      </c>
      <c r="DM14" s="32">
        <v>8.0304919625110702E-2</v>
      </c>
      <c r="DN14" s="32">
        <v>129.51999999999899</v>
      </c>
      <c r="DO14" s="32">
        <v>126.554</v>
      </c>
      <c r="DP14" s="32">
        <v>-16.469999999999899</v>
      </c>
      <c r="DQ14" s="32">
        <v>67.91</v>
      </c>
      <c r="DR14" s="32">
        <v>25.489999999999899</v>
      </c>
      <c r="DS14" s="32">
        <v>106.5</v>
      </c>
      <c r="DT14" s="32">
        <v>-10.3399999999999</v>
      </c>
      <c r="DU14" s="32">
        <v>-51.999999999999901</v>
      </c>
      <c r="DV14" s="32">
        <v>305.3</v>
      </c>
      <c r="DW14" s="32">
        <v>54.3599999999999</v>
      </c>
      <c r="DX14" s="32">
        <v>18.96</v>
      </c>
      <c r="DY14" s="32">
        <v>479.599999999999</v>
      </c>
      <c r="DZ14" s="32">
        <v>-12.399999999999901</v>
      </c>
      <c r="EA14" s="32">
        <v>-69.5</v>
      </c>
      <c r="EB14" s="32">
        <v>3052.82</v>
      </c>
      <c r="EC14" s="32">
        <v>1313.49</v>
      </c>
      <c r="ED14" s="32">
        <v>214.08</v>
      </c>
      <c r="EE14" s="32">
        <v>1185.5999999999999</v>
      </c>
      <c r="EF14" s="32">
        <v>174.58999999999901</v>
      </c>
      <c r="EG14" s="32">
        <v>-56.999999999999901</v>
      </c>
      <c r="EH14" s="32">
        <v>-17.37</v>
      </c>
      <c r="EI14" s="32">
        <v>67.5</v>
      </c>
      <c r="EJ14" s="32">
        <v>-39.590000000000003</v>
      </c>
      <c r="EK14" s="32">
        <v>-897.07999999999902</v>
      </c>
      <c r="EL14" s="32">
        <v>1131.5323752372999</v>
      </c>
      <c r="EM14" s="32">
        <v>365.010195846491</v>
      </c>
      <c r="EN14" s="32">
        <v>1.0237623793995601</v>
      </c>
      <c r="EO14" s="32">
        <v>0.92412429814117203</v>
      </c>
      <c r="EP14" s="32">
        <v>1.0640690907480901</v>
      </c>
      <c r="EQ14" s="32">
        <v>1E-3</v>
      </c>
      <c r="ER14" s="32">
        <v>249.42110252994701</v>
      </c>
      <c r="ES14" s="32">
        <v>1644.65450121504</v>
      </c>
      <c r="ET14" s="32">
        <v>458.15921813584799</v>
      </c>
      <c r="EU14" s="32">
        <v>455.83308195719502</v>
      </c>
      <c r="EV14" s="32">
        <v>1362.1091484658</v>
      </c>
      <c r="EW14" s="32">
        <v>465.18430080791597</v>
      </c>
      <c r="EX14" s="32">
        <v>30711</v>
      </c>
      <c r="EY14" s="32">
        <v>29.481173149997101</v>
      </c>
      <c r="EZ14" s="32">
        <v>-28.9683933258056</v>
      </c>
      <c r="FA14" s="32">
        <v>-14.5013275146484</v>
      </c>
      <c r="FB14" s="32">
        <v>13</v>
      </c>
      <c r="FC14" s="32">
        <v>2</v>
      </c>
      <c r="FD14" s="32">
        <v>0</v>
      </c>
      <c r="FE14" s="32">
        <v>20</v>
      </c>
      <c r="FF14" s="32">
        <v>3</v>
      </c>
      <c r="FG14" s="32">
        <v>1</v>
      </c>
      <c r="FH14" s="32">
        <v>18</v>
      </c>
      <c r="FI14" s="32">
        <v>1</v>
      </c>
      <c r="FJ14" s="32">
        <v>0</v>
      </c>
      <c r="FK14" s="32">
        <v>201</v>
      </c>
      <c r="FL14" s="32">
        <v>1288</v>
      </c>
      <c r="FM14" s="32">
        <v>853</v>
      </c>
      <c r="FN14" s="32">
        <v>230.659999999999</v>
      </c>
      <c r="FO14" s="32">
        <v>1309.2</v>
      </c>
      <c r="FP14" s="32">
        <v>1525.8</v>
      </c>
      <c r="FQ14" s="32">
        <v>2018.8</v>
      </c>
      <c r="FR14" s="32">
        <v>2684.16</v>
      </c>
      <c r="FS14" s="32">
        <v>18.144123526616699</v>
      </c>
      <c r="FT14" s="32">
        <v>131.91999999999899</v>
      </c>
      <c r="FU14" s="32">
        <v>20961</v>
      </c>
      <c r="FV14" s="32">
        <v>3590.35</v>
      </c>
      <c r="FW14" s="32">
        <v>18328</v>
      </c>
      <c r="FX14" s="33">
        <v>2.36786754870529E-13</v>
      </c>
      <c r="FY14" s="32">
        <v>1006.27372170038</v>
      </c>
      <c r="FZ14" s="32">
        <v>3831.8078240693999</v>
      </c>
      <c r="GA14" s="32">
        <v>1454.46176627658</v>
      </c>
      <c r="GB14" s="32">
        <v>1932.70602718634</v>
      </c>
      <c r="GC14" s="32">
        <v>3130.2287894820502</v>
      </c>
      <c r="GD14" s="32">
        <v>1739.8502037230301</v>
      </c>
      <c r="GE14" s="32">
        <v>235.51</v>
      </c>
      <c r="GF14" s="32">
        <v>248.09299999999999</v>
      </c>
      <c r="GG14" s="32">
        <v>345.93799999999902</v>
      </c>
      <c r="GH14" s="32">
        <v>331.55399999999901</v>
      </c>
      <c r="GI14" s="32">
        <v>5010.7849999999999</v>
      </c>
      <c r="GJ14" s="32">
        <v>4822.6779999999999</v>
      </c>
      <c r="GK14" s="32">
        <v>6984.7610000000004</v>
      </c>
      <c r="GL14" s="32">
        <v>473.459</v>
      </c>
      <c r="GM14" s="32">
        <v>592.02700000000004</v>
      </c>
      <c r="GN14" s="32">
        <v>230.786</v>
      </c>
      <c r="GO14" s="32">
        <v>-84.850000000000094</v>
      </c>
      <c r="GP14" s="32">
        <v>5626.4892533333204</v>
      </c>
      <c r="GQ14" s="32">
        <v>56598.524886628802</v>
      </c>
      <c r="GR14" s="32">
        <v>9.7004863813228006</v>
      </c>
      <c r="GS14" s="32">
        <v>0.67515504868491105</v>
      </c>
      <c r="GT14" s="32">
        <v>-54.581193853148498</v>
      </c>
      <c r="GU14" s="32">
        <v>4.0900395921810802</v>
      </c>
      <c r="GV14" s="32">
        <v>2.9320906136690499</v>
      </c>
    </row>
    <row r="15" spans="1:204" x14ac:dyDescent="0.25">
      <c r="A15" s="27" t="s">
        <v>206</v>
      </c>
      <c r="B15" s="28" t="s">
        <v>206</v>
      </c>
      <c r="C15" s="28">
        <v>0.13</v>
      </c>
      <c r="D15" s="28">
        <v>0.1</v>
      </c>
      <c r="E15" s="28">
        <v>0.02</v>
      </c>
      <c r="F15" s="28" t="s">
        <v>206</v>
      </c>
      <c r="G15" s="28">
        <v>0.28999999999999998</v>
      </c>
      <c r="H15" s="28">
        <v>0.21</v>
      </c>
      <c r="I15" s="28">
        <v>0.03</v>
      </c>
      <c r="J15" s="29" t="s">
        <v>206</v>
      </c>
      <c r="K15" s="30">
        <v>0.13</v>
      </c>
      <c r="L15" s="30">
        <v>0.09</v>
      </c>
      <c r="M15" s="30">
        <v>0.09</v>
      </c>
      <c r="N15" s="41" t="s">
        <v>206</v>
      </c>
      <c r="O15" s="30">
        <v>0.28999999999999998</v>
      </c>
      <c r="P15" s="30">
        <v>0.26</v>
      </c>
      <c r="Q15" s="30">
        <v>0.21</v>
      </c>
      <c r="R15" s="29" t="s">
        <v>206</v>
      </c>
      <c r="S15" s="31">
        <v>0.65</v>
      </c>
      <c r="T15" s="31">
        <v>0.23</v>
      </c>
      <c r="U15" s="31">
        <v>0.32</v>
      </c>
      <c r="V15" s="29" t="s">
        <v>206</v>
      </c>
      <c r="W15" s="31">
        <v>0.28000000000000003</v>
      </c>
      <c r="X15" s="31">
        <v>0.14000000000000001</v>
      </c>
      <c r="Y15" s="31">
        <v>0.11</v>
      </c>
      <c r="Z15" s="29" t="s">
        <v>206</v>
      </c>
      <c r="AA15" s="29">
        <v>0.28000000000000003</v>
      </c>
      <c r="AB15" s="29">
        <v>0.45</v>
      </c>
      <c r="AC15" s="29">
        <v>0.39</v>
      </c>
      <c r="AD15" s="28" t="s">
        <v>206</v>
      </c>
      <c r="AE15" s="28">
        <v>0.13</v>
      </c>
      <c r="AF15" s="28">
        <v>0.1</v>
      </c>
      <c r="AG15" s="28">
        <v>0.08</v>
      </c>
      <c r="AH15" s="28" t="s">
        <v>206</v>
      </c>
      <c r="AI15" s="28">
        <v>0.28000000000000003</v>
      </c>
      <c r="AJ15" s="28">
        <v>0.27</v>
      </c>
      <c r="AK15" s="28">
        <v>0.24</v>
      </c>
      <c r="AL15" s="32" t="s">
        <v>206</v>
      </c>
      <c r="AM15" s="32">
        <v>17</v>
      </c>
      <c r="AN15" s="32">
        <v>-9.5731454005934399E-2</v>
      </c>
      <c r="AO15" s="32">
        <v>3878.6999999999898</v>
      </c>
      <c r="AP15" s="32">
        <v>3896.3999999999901</v>
      </c>
      <c r="AQ15" s="32">
        <v>675.82799999999997</v>
      </c>
      <c r="AR15" s="32">
        <v>223.368903661377</v>
      </c>
      <c r="AS15" s="32">
        <v>-64.055400000000006</v>
      </c>
      <c r="AT15" s="32">
        <v>107.72779999999899</v>
      </c>
      <c r="AU15" s="32">
        <v>9.9660735798271591E-3</v>
      </c>
      <c r="AV15" s="32">
        <v>-928.270761904761</v>
      </c>
      <c r="AW15" s="32">
        <v>710.734035533054</v>
      </c>
      <c r="AX15" s="32">
        <v>0.99999999995307898</v>
      </c>
      <c r="AY15" s="32">
        <v>3.0310237517825502E-3</v>
      </c>
      <c r="AZ15" s="32">
        <v>2.34262653315137E-2</v>
      </c>
      <c r="BA15" s="32">
        <v>3.4776010422269701E-2</v>
      </c>
      <c r="BB15" s="32">
        <v>0.47490028958056402</v>
      </c>
      <c r="BC15" s="32">
        <v>1019.26635147065</v>
      </c>
      <c r="BD15" s="32">
        <v>2056.5660260568702</v>
      </c>
      <c r="BE15" s="32">
        <v>965.30207285997005</v>
      </c>
      <c r="BF15" s="32">
        <v>301.51105003249103</v>
      </c>
      <c r="BG15" s="32">
        <v>0.52509971041944103</v>
      </c>
      <c r="BH15" s="32">
        <v>13.613753785023199</v>
      </c>
      <c r="BI15" s="32">
        <v>8474.1794383446595</v>
      </c>
      <c r="BJ15" s="32">
        <v>5679.2138419005496</v>
      </c>
      <c r="BK15" s="32">
        <v>4688.4520470897596</v>
      </c>
      <c r="BL15" s="32">
        <v>5.65467024789209E-2</v>
      </c>
      <c r="BM15" s="32">
        <v>0.45159941288949501</v>
      </c>
      <c r="BN15" s="32">
        <v>8296.8290364248205</v>
      </c>
      <c r="BO15" s="32">
        <v>6469.2929736967399</v>
      </c>
      <c r="BP15" s="32">
        <v>5724.6178081251601</v>
      </c>
      <c r="BQ15" s="32">
        <v>8.0731876480322706E-2</v>
      </c>
      <c r="BR15" s="32">
        <v>0.54807624944704803</v>
      </c>
      <c r="BS15" s="32">
        <v>27977.0159999998</v>
      </c>
      <c r="BT15" s="32">
        <v>3.4695834137941102</v>
      </c>
      <c r="BU15" s="32">
        <v>-313.41611103161802</v>
      </c>
      <c r="BV15" s="32">
        <v>13.714469782399</v>
      </c>
      <c r="BW15" s="32">
        <v>679.63999999999896</v>
      </c>
      <c r="BX15" s="32">
        <v>689.828000000001</v>
      </c>
      <c r="BY15" s="32">
        <v>692.70000000000198</v>
      </c>
      <c r="BZ15" s="32">
        <v>663.69999999999902</v>
      </c>
      <c r="CA15" s="32">
        <v>0.56189938409988005</v>
      </c>
      <c r="CB15" s="32">
        <v>-928.27076190476498</v>
      </c>
      <c r="CC15" s="32">
        <v>298.289999999999</v>
      </c>
      <c r="CD15" s="32">
        <v>82258.3</v>
      </c>
      <c r="CE15" s="32">
        <v>0.50858545573402403</v>
      </c>
      <c r="CF15" s="32">
        <v>1.2838183657164699</v>
      </c>
      <c r="CG15" s="32">
        <v>1.0992430945332501</v>
      </c>
      <c r="CH15" s="32">
        <v>146.44520999336601</v>
      </c>
      <c r="CI15" s="32">
        <v>117.09624034408</v>
      </c>
      <c r="CJ15" s="32">
        <v>143.88915513469601</v>
      </c>
      <c r="CK15" s="32">
        <v>661.83000000000095</v>
      </c>
      <c r="CL15" s="32">
        <v>661.72199999999998</v>
      </c>
      <c r="CM15" s="32">
        <v>656.52</v>
      </c>
      <c r="CN15" s="32">
        <v>674.59</v>
      </c>
      <c r="CO15" s="32">
        <v>678.80900000000099</v>
      </c>
      <c r="CP15" s="32">
        <v>666.63</v>
      </c>
      <c r="CQ15" s="32">
        <v>9881.1099999999497</v>
      </c>
      <c r="CR15" s="32">
        <v>665.61599999999896</v>
      </c>
      <c r="CS15" s="32">
        <v>1</v>
      </c>
      <c r="CT15" s="32">
        <v>95.919970512800901</v>
      </c>
      <c r="CU15" s="32">
        <v>0.88237665336918003</v>
      </c>
      <c r="CV15" s="32">
        <v>0.33161330507466003</v>
      </c>
      <c r="CW15" s="32">
        <v>0.33383237932600901</v>
      </c>
      <c r="CX15" s="32">
        <v>710.734035533054</v>
      </c>
      <c r="CY15" s="32">
        <v>10.398999999999999</v>
      </c>
      <c r="CZ15" s="32">
        <v>13940.53</v>
      </c>
      <c r="DA15" s="32">
        <v>70.378999999999706</v>
      </c>
      <c r="DB15" s="33">
        <v>7.8117852931298894E-11</v>
      </c>
      <c r="DC15" s="33">
        <v>1.8103492628362602E-5</v>
      </c>
      <c r="DD15" s="32">
        <v>84.799000000000007</v>
      </c>
      <c r="DE15" s="32">
        <v>1</v>
      </c>
      <c r="DF15" s="32">
        <v>847.29999999999598</v>
      </c>
      <c r="DG15" s="32">
        <v>1189.3999999999901</v>
      </c>
      <c r="DH15" s="32">
        <v>930.50000000000398</v>
      </c>
      <c r="DI15" s="32">
        <v>504.6</v>
      </c>
      <c r="DJ15" s="32">
        <v>46.5649529503442</v>
      </c>
      <c r="DK15" s="32">
        <v>0.27844908958520398</v>
      </c>
      <c r="DL15" s="32">
        <v>3.3086406818961099E-2</v>
      </c>
      <c r="DM15" s="32">
        <v>0.95988092709094897</v>
      </c>
      <c r="DN15" s="32">
        <v>123.239999999999</v>
      </c>
      <c r="DO15" s="32">
        <v>335.25299999999902</v>
      </c>
      <c r="DP15" s="32">
        <v>22.25</v>
      </c>
      <c r="DQ15" s="32">
        <v>187.62</v>
      </c>
      <c r="DR15" s="32">
        <v>-31.47</v>
      </c>
      <c r="DS15" s="32">
        <v>206.51</v>
      </c>
      <c r="DT15" s="32">
        <v>32.879999999999903</v>
      </c>
      <c r="DU15" s="32">
        <v>110.3</v>
      </c>
      <c r="DV15" s="32">
        <v>1355.0999999999899</v>
      </c>
      <c r="DW15" s="32">
        <v>27.689999999999898</v>
      </c>
      <c r="DX15" s="32">
        <v>-76.300000000000097</v>
      </c>
      <c r="DY15" s="32">
        <v>1015.89999999999</v>
      </c>
      <c r="DZ15" s="32">
        <v>-113.2</v>
      </c>
      <c r="EA15" s="32">
        <v>-281.49999999999898</v>
      </c>
      <c r="EB15" s="32">
        <v>8598.79000000001</v>
      </c>
      <c r="EC15" s="32">
        <v>3618.6899999999901</v>
      </c>
      <c r="ED15" s="32">
        <v>574.22000000000196</v>
      </c>
      <c r="EE15" s="32">
        <v>2929.7999999999902</v>
      </c>
      <c r="EF15" s="32">
        <v>484.37000000000103</v>
      </c>
      <c r="EG15" s="32">
        <v>-393.270000000001</v>
      </c>
      <c r="EH15" s="32">
        <v>-86.340000000000202</v>
      </c>
      <c r="EI15" s="32">
        <v>62.819999999999702</v>
      </c>
      <c r="EJ15" s="32">
        <v>-97.55</v>
      </c>
      <c r="EK15" s="32">
        <v>-2884.8099999999899</v>
      </c>
      <c r="EL15" s="32">
        <v>1019.26635147065</v>
      </c>
      <c r="EM15" s="32">
        <v>1044.8247800787799</v>
      </c>
      <c r="EN15" s="32">
        <v>9.8110552876236294</v>
      </c>
      <c r="EO15" s="32">
        <v>8.7990020689900792</v>
      </c>
      <c r="EP15" s="32">
        <v>3.4088478176997201</v>
      </c>
      <c r="EQ15" s="32">
        <v>1E-3</v>
      </c>
      <c r="ER15" s="32">
        <v>254.47261806249199</v>
      </c>
      <c r="ES15" s="32">
        <v>696.23412979417196</v>
      </c>
      <c r="ET15" s="32">
        <v>1136.89829818976</v>
      </c>
      <c r="EU15" s="32">
        <v>490.16717400322102</v>
      </c>
      <c r="EV15" s="32">
        <v>539.86747926176201</v>
      </c>
      <c r="EW15" s="32">
        <v>977.53887986816096</v>
      </c>
      <c r="EX15" s="32">
        <v>86571</v>
      </c>
      <c r="EY15" s="32">
        <v>74.512196340028297</v>
      </c>
      <c r="EZ15" s="32">
        <v>9.2814693450927699</v>
      </c>
      <c r="FA15" s="32">
        <v>10.554792404174799</v>
      </c>
      <c r="FB15" s="32">
        <v>28</v>
      </c>
      <c r="FC15" s="32">
        <v>4</v>
      </c>
      <c r="FD15" s="32">
        <v>0</v>
      </c>
      <c r="FE15" s="32">
        <v>59</v>
      </c>
      <c r="FF15" s="32">
        <v>10</v>
      </c>
      <c r="FG15" s="32">
        <v>3</v>
      </c>
      <c r="FH15" s="32">
        <v>53</v>
      </c>
      <c r="FI15" s="32">
        <v>10</v>
      </c>
      <c r="FJ15" s="32">
        <v>3</v>
      </c>
      <c r="FK15" s="32">
        <v>455</v>
      </c>
      <c r="FL15" s="32">
        <v>2065</v>
      </c>
      <c r="FM15" s="32">
        <v>2247</v>
      </c>
      <c r="FN15" s="32">
        <v>660.229999999999</v>
      </c>
      <c r="FO15" s="32">
        <v>3933.2999999999902</v>
      </c>
      <c r="FP15" s="32">
        <v>3994.7</v>
      </c>
      <c r="FQ15" s="32">
        <v>5839.0999999999904</v>
      </c>
      <c r="FR15" s="32">
        <v>9975.0599999999795</v>
      </c>
      <c r="FS15" s="32">
        <v>29.625953454450599</v>
      </c>
      <c r="FT15" s="32">
        <v>435.47999999999797</v>
      </c>
      <c r="FU15" s="32">
        <v>58959</v>
      </c>
      <c r="FV15" s="32">
        <v>10804.33</v>
      </c>
      <c r="FW15" s="32">
        <v>51412</v>
      </c>
      <c r="FX15" s="33">
        <v>3.9597351356950302E-13</v>
      </c>
      <c r="FY15" s="32">
        <v>2085.4373082071602</v>
      </c>
      <c r="FZ15" s="32">
        <v>8869.4879306948005</v>
      </c>
      <c r="GA15" s="32">
        <v>8382.9654884820993</v>
      </c>
      <c r="GB15" s="32">
        <v>4100.46587981427</v>
      </c>
      <c r="GC15" s="32">
        <v>6908.6781803007598</v>
      </c>
      <c r="GD15" s="32">
        <v>7626.1252221388904</v>
      </c>
      <c r="GE15" s="32">
        <v>661.780000000001</v>
      </c>
      <c r="GF15" s="32">
        <v>655.39700000000005</v>
      </c>
      <c r="GG15" s="32">
        <v>278.820999999999</v>
      </c>
      <c r="GH15" s="32">
        <v>972.92899999999997</v>
      </c>
      <c r="GI15" s="32">
        <v>13286.293</v>
      </c>
      <c r="GJ15" s="32">
        <v>12847.004999999999</v>
      </c>
      <c r="GK15" s="32">
        <v>14690.7229999999</v>
      </c>
      <c r="GL15" s="32">
        <v>678.62800000000198</v>
      </c>
      <c r="GM15" s="32">
        <v>1582.00799999999</v>
      </c>
      <c r="GN15" s="32">
        <v>2258.6369999999902</v>
      </c>
      <c r="GO15" s="32">
        <v>-426.91999999999803</v>
      </c>
      <c r="GP15" s="32">
        <v>13212.6855349999</v>
      </c>
      <c r="GQ15" s="32">
        <v>140394.58202594999</v>
      </c>
      <c r="GR15" s="32">
        <v>12.674889169143199</v>
      </c>
      <c r="GS15" s="32">
        <v>-1.4674164771736999</v>
      </c>
      <c r="GT15" s="32">
        <v>3.5003226657497799</v>
      </c>
      <c r="GU15" s="32">
        <v>7.3286747599839801</v>
      </c>
      <c r="GV15" s="32">
        <v>7.4567400859025597</v>
      </c>
    </row>
    <row r="16" spans="1:204" x14ac:dyDescent="0.25">
      <c r="A16" s="27" t="s">
        <v>207</v>
      </c>
      <c r="B16" s="28" t="s">
        <v>207</v>
      </c>
      <c r="C16" s="28">
        <v>0.27</v>
      </c>
      <c r="D16" s="28">
        <v>0.22</v>
      </c>
      <c r="E16" s="28">
        <v>0.15</v>
      </c>
      <c r="F16" s="28" t="s">
        <v>207</v>
      </c>
      <c r="G16" s="28">
        <v>0.46</v>
      </c>
      <c r="H16" s="28">
        <v>0.37</v>
      </c>
      <c r="I16" s="28">
        <v>0.23</v>
      </c>
      <c r="J16" s="29" t="s">
        <v>207</v>
      </c>
      <c r="K16" s="30">
        <v>0.27</v>
      </c>
      <c r="L16" s="30">
        <v>0.23</v>
      </c>
      <c r="M16" s="30">
        <v>0.16</v>
      </c>
      <c r="N16" s="41" t="s">
        <v>207</v>
      </c>
      <c r="O16" s="30">
        <v>0.47</v>
      </c>
      <c r="P16" s="30">
        <v>0.41</v>
      </c>
      <c r="Q16" s="30">
        <v>0.31</v>
      </c>
      <c r="R16" s="31" t="s">
        <v>207</v>
      </c>
      <c r="S16" s="31">
        <v>0.66</v>
      </c>
      <c r="T16" s="31">
        <v>0.32</v>
      </c>
      <c r="U16" s="31">
        <v>0.4</v>
      </c>
      <c r="V16" s="29" t="s">
        <v>207</v>
      </c>
      <c r="W16" s="31">
        <v>0.47</v>
      </c>
      <c r="X16" s="31">
        <v>0.27</v>
      </c>
      <c r="Y16" s="31">
        <v>0.3</v>
      </c>
      <c r="Z16" s="29" t="s">
        <v>207</v>
      </c>
      <c r="AA16" s="29">
        <v>0.47</v>
      </c>
      <c r="AB16" s="29">
        <v>0.47</v>
      </c>
      <c r="AC16" s="29">
        <v>0.44</v>
      </c>
      <c r="AD16" s="28" t="s">
        <v>207</v>
      </c>
      <c r="AE16" s="28">
        <v>0.28000000000000003</v>
      </c>
      <c r="AF16" s="28">
        <v>0.27</v>
      </c>
      <c r="AG16" s="28">
        <v>0.23</v>
      </c>
      <c r="AH16" s="28" t="s">
        <v>207</v>
      </c>
      <c r="AI16" s="28">
        <v>0.48</v>
      </c>
      <c r="AJ16" s="28">
        <v>0.44</v>
      </c>
      <c r="AK16" s="28">
        <v>0.42</v>
      </c>
      <c r="AL16" s="32" t="s">
        <v>207</v>
      </c>
      <c r="AM16" s="32">
        <v>3</v>
      </c>
      <c r="AN16" s="32">
        <v>-0.19750961538461501</v>
      </c>
      <c r="AO16" s="32">
        <v>589.49999999999898</v>
      </c>
      <c r="AP16" s="32">
        <v>594.66999999999905</v>
      </c>
      <c r="AQ16" s="32">
        <v>104.69099999999899</v>
      </c>
      <c r="AR16" s="32">
        <v>235.15321601432899</v>
      </c>
      <c r="AS16" s="32">
        <v>-20.5076</v>
      </c>
      <c r="AT16" s="32">
        <v>13.605</v>
      </c>
      <c r="AU16" s="32">
        <v>2.6764921506033601E-2</v>
      </c>
      <c r="AV16" s="32">
        <v>-58.059904761904697</v>
      </c>
      <c r="AW16" s="32">
        <v>246.32831376913799</v>
      </c>
      <c r="AX16" s="32">
        <v>8.0000000000003304</v>
      </c>
      <c r="AY16" s="32">
        <v>6.2759272888050803E-3</v>
      </c>
      <c r="AZ16" s="32">
        <v>1.89980717796784E-2</v>
      </c>
      <c r="BA16" s="32">
        <v>3.6315327792730903E-2</v>
      </c>
      <c r="BB16" s="32">
        <v>0.39370319389242597</v>
      </c>
      <c r="BC16" s="32">
        <v>140.411789633512</v>
      </c>
      <c r="BD16" s="32">
        <v>1130.64688791973</v>
      </c>
      <c r="BE16" s="32">
        <v>938.306260722199</v>
      </c>
      <c r="BF16" s="32">
        <v>718.75550726197798</v>
      </c>
      <c r="BG16" s="32">
        <v>0.60629680610757397</v>
      </c>
      <c r="BH16" s="32">
        <v>0.84322014239796095</v>
      </c>
      <c r="BI16" s="32">
        <v>1729.24701740302</v>
      </c>
      <c r="BJ16" s="32">
        <v>1279.3807926074801</v>
      </c>
      <c r="BK16" s="32">
        <v>1207.9382642524199</v>
      </c>
      <c r="BL16" s="32">
        <v>4.7709281815871502E-2</v>
      </c>
      <c r="BM16" s="32">
        <v>0.40645627871427997</v>
      </c>
      <c r="BN16" s="32">
        <v>2833.2255444268098</v>
      </c>
      <c r="BO16" s="32">
        <v>2297.7708953802498</v>
      </c>
      <c r="BP16" s="32">
        <v>2191.3951107074599</v>
      </c>
      <c r="BQ16" s="32">
        <v>0.103502728889955</v>
      </c>
      <c r="BR16" s="32">
        <v>0.59354372128571997</v>
      </c>
      <c r="BS16" s="32">
        <v>8467.9119999999893</v>
      </c>
      <c r="BT16" s="32">
        <v>27.022544766502602</v>
      </c>
      <c r="BU16" s="32">
        <v>-85.724221394718995</v>
      </c>
      <c r="BV16" s="32">
        <v>9.4816837339201001</v>
      </c>
      <c r="BW16" s="32">
        <v>105.819999999999</v>
      </c>
      <c r="BX16" s="32">
        <v>106.337</v>
      </c>
      <c r="BY16" s="32">
        <v>107.74</v>
      </c>
      <c r="BZ16" s="32">
        <v>99.33</v>
      </c>
      <c r="CA16" s="32">
        <v>2.62703163937082</v>
      </c>
      <c r="CB16" s="32">
        <v>-58.059904761904697</v>
      </c>
      <c r="CC16" s="32">
        <v>46.509999999999899</v>
      </c>
      <c r="CD16" s="32">
        <v>12567.699999999901</v>
      </c>
      <c r="CE16" s="32">
        <v>0.64800722979919501</v>
      </c>
      <c r="CF16" s="32">
        <v>1.36935192662756</v>
      </c>
      <c r="CG16" s="32">
        <v>1.23425971761651</v>
      </c>
      <c r="CH16" s="32">
        <v>581.60199245004196</v>
      </c>
      <c r="CI16" s="32">
        <v>71.271074444499902</v>
      </c>
      <c r="CJ16" s="32">
        <v>260.23687791391501</v>
      </c>
      <c r="CK16" s="32">
        <v>99.059999999999903</v>
      </c>
      <c r="CL16" s="32">
        <v>96.974000000000004</v>
      </c>
      <c r="CM16" s="32">
        <v>100.19</v>
      </c>
      <c r="CN16" s="32">
        <v>103.16999999999901</v>
      </c>
      <c r="CO16" s="32">
        <v>109.998</v>
      </c>
      <c r="CP16" s="32">
        <v>104.569999999999</v>
      </c>
      <c r="CQ16" s="32">
        <v>1523.88</v>
      </c>
      <c r="CR16" s="32">
        <v>103.328</v>
      </c>
      <c r="CS16" s="32">
        <v>1</v>
      </c>
      <c r="CT16" s="32">
        <v>95.919970512800901</v>
      </c>
      <c r="CU16" s="32">
        <v>0.32960125416236502</v>
      </c>
      <c r="CV16" s="32">
        <v>0.44006480000853099</v>
      </c>
      <c r="CW16" s="32">
        <v>0.83528796534371696</v>
      </c>
      <c r="CX16" s="32">
        <v>246.32831376913799</v>
      </c>
      <c r="CY16" s="32">
        <v>6.2649999999999997</v>
      </c>
      <c r="CZ16" s="32">
        <v>2109.5499999999902</v>
      </c>
      <c r="DA16" s="32">
        <v>15.781000000000001</v>
      </c>
      <c r="DB16" s="33">
        <v>4.9108990126181598E-11</v>
      </c>
      <c r="DC16" s="32">
        <v>1.4070796654199499E-4</v>
      </c>
      <c r="DD16" s="32">
        <v>53.143999999999998</v>
      </c>
      <c r="DE16" s="32">
        <v>8</v>
      </c>
      <c r="DF16" s="32">
        <v>138.6</v>
      </c>
      <c r="DG16" s="32">
        <v>151.6</v>
      </c>
      <c r="DH16" s="32">
        <v>143.29999999999899</v>
      </c>
      <c r="DI16" s="32">
        <v>92.7</v>
      </c>
      <c r="DJ16" s="32">
        <v>29.27317801061</v>
      </c>
      <c r="DK16" s="32">
        <v>0.42751582230722601</v>
      </c>
      <c r="DL16" s="32">
        <v>4.4348100543506699E-2</v>
      </c>
      <c r="DM16" s="32">
        <v>0.90291941371041395</v>
      </c>
      <c r="DN16" s="32">
        <v>-3.13</v>
      </c>
      <c r="DO16" s="32">
        <v>50.352999999999902</v>
      </c>
      <c r="DP16" s="32">
        <v>7.12</v>
      </c>
      <c r="DQ16" s="32">
        <v>26.19</v>
      </c>
      <c r="DR16" s="32">
        <v>-14.76</v>
      </c>
      <c r="DS16" s="32">
        <v>18.62</v>
      </c>
      <c r="DT16" s="32">
        <v>18.64</v>
      </c>
      <c r="DU16" s="32">
        <v>38.799999999999997</v>
      </c>
      <c r="DV16" s="32">
        <v>243.29999999999899</v>
      </c>
      <c r="DW16" s="32">
        <v>-17.8799999999999</v>
      </c>
      <c r="DX16" s="32">
        <v>-24.059999999999899</v>
      </c>
      <c r="DY16" s="32">
        <v>86.099999999999895</v>
      </c>
      <c r="DZ16" s="32">
        <v>-35.499999999999901</v>
      </c>
      <c r="EA16" s="32">
        <v>-93.8</v>
      </c>
      <c r="EB16" s="32">
        <v>1309.26</v>
      </c>
      <c r="EC16" s="32">
        <v>527.39999999999895</v>
      </c>
      <c r="ED16" s="32">
        <v>81.02</v>
      </c>
      <c r="EE16" s="32">
        <v>431.7</v>
      </c>
      <c r="EF16" s="32">
        <v>72.48</v>
      </c>
      <c r="EG16" s="32">
        <v>-71.97</v>
      </c>
      <c r="EH16" s="32">
        <v>-18.479999999999901</v>
      </c>
      <c r="EI16" s="32">
        <v>-7.35</v>
      </c>
      <c r="EJ16" s="32">
        <v>-10.5299999999999</v>
      </c>
      <c r="EK16" s="32">
        <v>-467.45</v>
      </c>
      <c r="EL16" s="32">
        <v>140.411789633512</v>
      </c>
      <c r="EM16" s="32">
        <v>212.08914955186501</v>
      </c>
      <c r="EN16" s="32">
        <v>0.49008458799142302</v>
      </c>
      <c r="EO16" s="32">
        <v>0.33528127233670402</v>
      </c>
      <c r="EP16" s="32">
        <v>0.39729938703028</v>
      </c>
      <c r="EQ16" s="32">
        <v>1E-3</v>
      </c>
      <c r="ER16" s="32">
        <v>747.76000137804999</v>
      </c>
      <c r="ES16" s="32">
        <v>355.80977050240301</v>
      </c>
      <c r="ET16" s="32">
        <v>1003.78447087275</v>
      </c>
      <c r="EU16" s="32">
        <v>1148.3894126436901</v>
      </c>
      <c r="EV16" s="32">
        <v>246.99138318820101</v>
      </c>
      <c r="EW16" s="32">
        <v>855.473515361978</v>
      </c>
      <c r="EX16" s="32">
        <v>13542</v>
      </c>
      <c r="EY16" s="32">
        <v>11.7097313600005</v>
      </c>
      <c r="EZ16" s="32">
        <v>11.4874763488769</v>
      </c>
      <c r="FA16" s="32">
        <v>11.2097625732421</v>
      </c>
      <c r="FB16" s="32">
        <v>3</v>
      </c>
      <c r="FC16" s="32">
        <v>2</v>
      </c>
      <c r="FD16" s="32">
        <v>2</v>
      </c>
      <c r="FE16" s="32">
        <v>18</v>
      </c>
      <c r="FF16" s="32">
        <v>0</v>
      </c>
      <c r="FG16" s="32">
        <v>0</v>
      </c>
      <c r="FH16" s="32">
        <v>9</v>
      </c>
      <c r="FI16" s="32">
        <v>3</v>
      </c>
      <c r="FJ16" s="32">
        <v>3</v>
      </c>
      <c r="FK16" s="32">
        <v>66</v>
      </c>
      <c r="FL16" s="32">
        <v>540</v>
      </c>
      <c r="FM16" s="32">
        <v>311</v>
      </c>
      <c r="FN16" s="32">
        <v>94.06</v>
      </c>
      <c r="FO16" s="32">
        <v>639.20000000000005</v>
      </c>
      <c r="FP16" s="32">
        <v>534.79999999999995</v>
      </c>
      <c r="FQ16" s="32">
        <v>932.4</v>
      </c>
      <c r="FR16" s="32">
        <v>1865.62</v>
      </c>
      <c r="FS16" s="32">
        <v>17.820618218448299</v>
      </c>
      <c r="FT16" s="32">
        <v>55.019999999999897</v>
      </c>
      <c r="FU16" s="32">
        <v>8948</v>
      </c>
      <c r="FV16" s="32">
        <v>1683.4099999999901</v>
      </c>
      <c r="FW16" s="32">
        <v>7571</v>
      </c>
      <c r="FX16" s="33">
        <v>9.8986278960768001E-14</v>
      </c>
      <c r="FY16" s="32">
        <v>1130.64688791973</v>
      </c>
      <c r="FZ16" s="32">
        <v>1756.71329586107</v>
      </c>
      <c r="GA16" s="32">
        <v>2890.7990590269001</v>
      </c>
      <c r="GB16" s="32">
        <v>1744.80597735012</v>
      </c>
      <c r="GC16" s="32">
        <v>1282.8793400009899</v>
      </c>
      <c r="GD16" s="32">
        <v>2342.1319012252302</v>
      </c>
      <c r="GE16" s="32">
        <v>97.82</v>
      </c>
      <c r="GF16" s="32">
        <v>160.874</v>
      </c>
      <c r="GG16" s="32">
        <v>226.643</v>
      </c>
      <c r="GH16" s="32">
        <v>307.51499999999999</v>
      </c>
      <c r="GI16" s="32">
        <v>3333.84399999999</v>
      </c>
      <c r="GJ16" s="32">
        <v>3216.268</v>
      </c>
      <c r="GK16" s="32">
        <v>5134.0680000000002</v>
      </c>
      <c r="GL16" s="32">
        <v>396.65300000000002</v>
      </c>
      <c r="GM16" s="32">
        <v>403.99799999999902</v>
      </c>
      <c r="GN16" s="32">
        <v>876.452</v>
      </c>
      <c r="GO16" s="32">
        <v>-92.959999999999894</v>
      </c>
      <c r="GP16" s="32">
        <v>3972.99659833334</v>
      </c>
      <c r="GQ16" s="32">
        <v>22446.3164700698</v>
      </c>
      <c r="GR16" s="32">
        <v>1.4721086538461201</v>
      </c>
      <c r="GS16" s="32">
        <v>-1.6119024562522899</v>
      </c>
      <c r="GT16" s="32">
        <v>27.274405923745601</v>
      </c>
      <c r="GU16" s="32">
        <v>10.0602834786319</v>
      </c>
      <c r="GV16" s="32">
        <v>9.8121770530420491</v>
      </c>
    </row>
    <row r="17" spans="1:204" x14ac:dyDescent="0.25">
      <c r="A17" s="27" t="s">
        <v>208</v>
      </c>
      <c r="B17" s="28" t="s">
        <v>208</v>
      </c>
      <c r="C17" s="28">
        <v>0.1</v>
      </c>
      <c r="D17" s="28">
        <v>0.02</v>
      </c>
      <c r="E17" s="28">
        <v>0.02</v>
      </c>
      <c r="F17" s="28" t="s">
        <v>208</v>
      </c>
      <c r="G17" s="28">
        <v>0.49</v>
      </c>
      <c r="H17" s="28">
        <v>0.23</v>
      </c>
      <c r="I17" s="28">
        <v>0.03</v>
      </c>
      <c r="J17" s="29" t="s">
        <v>208</v>
      </c>
      <c r="K17" s="30">
        <v>0.09</v>
      </c>
      <c r="L17" s="30">
        <v>0.02</v>
      </c>
      <c r="M17" s="30">
        <v>0.02</v>
      </c>
      <c r="N17" s="41" t="s">
        <v>208</v>
      </c>
      <c r="O17" s="30">
        <v>0.49</v>
      </c>
      <c r="P17" s="30">
        <v>0.34</v>
      </c>
      <c r="Q17" s="30">
        <v>0.28000000000000003</v>
      </c>
      <c r="R17" s="29" t="s">
        <v>208</v>
      </c>
      <c r="S17" s="31">
        <v>1.5</v>
      </c>
      <c r="T17" s="31">
        <v>0.17</v>
      </c>
      <c r="U17" s="31">
        <v>0.19</v>
      </c>
      <c r="V17" s="29" t="s">
        <v>208</v>
      </c>
      <c r="W17" s="31">
        <v>0.48</v>
      </c>
      <c r="X17" s="31">
        <v>0.1</v>
      </c>
      <c r="Y17" s="31">
        <v>0.05</v>
      </c>
      <c r="Z17" s="29" t="s">
        <v>208</v>
      </c>
      <c r="AA17" s="29">
        <v>0.49</v>
      </c>
      <c r="AB17" s="29">
        <v>0.46</v>
      </c>
      <c r="AC17" s="29">
        <v>0.39</v>
      </c>
      <c r="AD17" s="28" t="s">
        <v>208</v>
      </c>
      <c r="AE17" s="28">
        <v>0.1</v>
      </c>
      <c r="AF17" s="28">
        <v>0.02</v>
      </c>
      <c r="AG17" s="28">
        <v>0.02</v>
      </c>
      <c r="AH17" s="28" t="s">
        <v>208</v>
      </c>
      <c r="AI17" s="28">
        <v>0.49</v>
      </c>
      <c r="AJ17" s="28">
        <v>0.21</v>
      </c>
      <c r="AK17" s="28">
        <v>0.03</v>
      </c>
      <c r="AL17" s="32" t="s">
        <v>208</v>
      </c>
      <c r="AM17" s="32">
        <v>13</v>
      </c>
      <c r="AN17" s="32">
        <v>-8.1731107205623807E-2</v>
      </c>
      <c r="AO17" s="32">
        <v>3297.6999999999898</v>
      </c>
      <c r="AP17" s="32">
        <v>3338.0299999999902</v>
      </c>
      <c r="AQ17" s="32">
        <v>570.14800000000196</v>
      </c>
      <c r="AR17" s="32">
        <v>241.86176181247001</v>
      </c>
      <c r="AS17" s="32">
        <v>-47.463399999999901</v>
      </c>
      <c r="AT17" s="32">
        <v>87.535199999999904</v>
      </c>
      <c r="AU17" s="32">
        <v>1.9112376701610499E-2</v>
      </c>
      <c r="AV17" s="32">
        <v>-584.62323809523798</v>
      </c>
      <c r="AW17" s="32">
        <v>864.31396864785404</v>
      </c>
      <c r="AX17" s="32">
        <v>-5.0000000000201803</v>
      </c>
      <c r="AY17" s="32">
        <v>3.9288527577181999E-3</v>
      </c>
      <c r="AZ17" s="32">
        <v>3.2122293891799103E-2</v>
      </c>
      <c r="BA17" s="32">
        <v>4.3946383994402601E-2</v>
      </c>
      <c r="BB17" s="32">
        <v>0.44143102163576098</v>
      </c>
      <c r="BC17" s="32">
        <v>143.61117586897001</v>
      </c>
      <c r="BD17" s="32">
        <v>2260.6628053463501</v>
      </c>
      <c r="BE17" s="32">
        <v>988.81887951347903</v>
      </c>
      <c r="BF17" s="32">
        <v>307.55689270090102</v>
      </c>
      <c r="BG17" s="32">
        <v>0.55856897836424102</v>
      </c>
      <c r="BH17" s="32">
        <v>8.8369207766470197</v>
      </c>
      <c r="BI17" s="32">
        <v>8880.9485704669605</v>
      </c>
      <c r="BJ17" s="32">
        <v>7059.6211694971198</v>
      </c>
      <c r="BK17" s="32">
        <v>5949.5633199029598</v>
      </c>
      <c r="BL17" s="32">
        <v>7.4614542898806799E-2</v>
      </c>
      <c r="BM17" s="32">
        <v>0.42452851756273602</v>
      </c>
      <c r="BN17" s="32">
        <v>7946.4965677207601</v>
      </c>
      <c r="BO17" s="32">
        <v>6214.7742335704997</v>
      </c>
      <c r="BP17" s="32">
        <v>5386.1014508917497</v>
      </c>
      <c r="BQ17" s="32">
        <v>8.1293607480510899E-2</v>
      </c>
      <c r="BR17" s="32">
        <v>0.57495832403104896</v>
      </c>
      <c r="BS17" s="32">
        <v>26857.203999999801</v>
      </c>
      <c r="BT17" s="32">
        <v>-17.202249769130901</v>
      </c>
      <c r="BU17" s="32">
        <v>-225.89112135752899</v>
      </c>
      <c r="BV17" s="32">
        <v>26.1742782081873</v>
      </c>
      <c r="BW17" s="32">
        <v>611.60999999999797</v>
      </c>
      <c r="BX17" s="32">
        <v>627.67800000000102</v>
      </c>
      <c r="BY17" s="32">
        <v>625.930000000002</v>
      </c>
      <c r="BZ17" s="32">
        <v>561.71</v>
      </c>
      <c r="CA17" s="32">
        <v>-2.4741249010430502</v>
      </c>
      <c r="CB17" s="32">
        <v>-584.62323809523605</v>
      </c>
      <c r="CC17" s="32">
        <v>245.009999999999</v>
      </c>
      <c r="CD17" s="32">
        <v>71546.8</v>
      </c>
      <c r="CE17" s="32">
        <v>0.51993123557735099</v>
      </c>
      <c r="CF17" s="32">
        <v>1.3489574632119401</v>
      </c>
      <c r="CG17" s="32">
        <v>1.1288502448236299</v>
      </c>
      <c r="CH17" s="32">
        <v>171.334336549086</v>
      </c>
      <c r="CI17" s="32">
        <v>124.62331494591599</v>
      </c>
      <c r="CJ17" s="32">
        <v>166.33596257235001</v>
      </c>
      <c r="CK17" s="32">
        <v>549.75000000000102</v>
      </c>
      <c r="CL17" s="32">
        <v>549.38199999999904</v>
      </c>
      <c r="CM17" s="32">
        <v>542.42999999999802</v>
      </c>
      <c r="CN17" s="32">
        <v>527.58999999999901</v>
      </c>
      <c r="CO17" s="32">
        <v>546.67000000000098</v>
      </c>
      <c r="CP17" s="32">
        <v>528.54999999999995</v>
      </c>
      <c r="CQ17" s="32">
        <v>8763.5299999999697</v>
      </c>
      <c r="CR17" s="32">
        <v>539.56399999999996</v>
      </c>
      <c r="CS17" s="32">
        <v>1</v>
      </c>
      <c r="CT17" s="32">
        <v>95.919970512800901</v>
      </c>
      <c r="CU17" s="32">
        <v>0.81970591516118996</v>
      </c>
      <c r="CV17" s="32">
        <v>0.29290767258685302</v>
      </c>
      <c r="CW17" s="32">
        <v>0.49222688669911902</v>
      </c>
      <c r="CX17" s="32">
        <v>864.31396864785404</v>
      </c>
      <c r="CY17" s="32">
        <v>16.96</v>
      </c>
      <c r="CZ17" s="32">
        <v>11859.43</v>
      </c>
      <c r="DA17" s="32">
        <v>80.043999999999798</v>
      </c>
      <c r="DB17" s="33">
        <v>7.5764324663817101E-11</v>
      </c>
      <c r="DC17" s="33">
        <v>-8.9699938184204E-5</v>
      </c>
      <c r="DD17" s="32">
        <v>105.518</v>
      </c>
      <c r="DE17" s="32">
        <v>-5</v>
      </c>
      <c r="DF17" s="32">
        <v>583.19999999999698</v>
      </c>
      <c r="DG17" s="32">
        <v>1272.49999999999</v>
      </c>
      <c r="DH17" s="32">
        <v>786.80000000000098</v>
      </c>
      <c r="DI17" s="32">
        <v>-94.099999999999895</v>
      </c>
      <c r="DJ17" s="32">
        <v>45.162047866163597</v>
      </c>
      <c r="DK17" s="32">
        <v>0.93857033689606495</v>
      </c>
      <c r="DL17" s="32">
        <v>0.13046597901422699</v>
      </c>
      <c r="DM17" s="32">
        <v>0.31947511799616601</v>
      </c>
      <c r="DN17" s="32">
        <v>125.939999999999</v>
      </c>
      <c r="DO17" s="32">
        <v>281.05399999999997</v>
      </c>
      <c r="DP17" s="32">
        <v>-3.22</v>
      </c>
      <c r="DQ17" s="32">
        <v>156.66999999999999</v>
      </c>
      <c r="DR17" s="32">
        <v>-48.34</v>
      </c>
      <c r="DS17" s="32">
        <v>178.98999999999899</v>
      </c>
      <c r="DT17" s="32">
        <v>6.81</v>
      </c>
      <c r="DU17" s="32">
        <v>155.9</v>
      </c>
      <c r="DV17" s="32">
        <v>997.19999999999902</v>
      </c>
      <c r="DW17" s="32">
        <v>27.6</v>
      </c>
      <c r="DX17" s="32">
        <v>-79.340000000000202</v>
      </c>
      <c r="DY17" s="32">
        <v>913.79999999999802</v>
      </c>
      <c r="DZ17" s="32">
        <v>-117.9</v>
      </c>
      <c r="EA17" s="32">
        <v>-230.99999999999901</v>
      </c>
      <c r="EB17" s="32">
        <v>7286.45999999999</v>
      </c>
      <c r="EC17" s="32">
        <v>3088.70999999999</v>
      </c>
      <c r="ED17" s="32">
        <v>474.44</v>
      </c>
      <c r="EE17" s="32">
        <v>2433.0999999999899</v>
      </c>
      <c r="EF17" s="32">
        <v>408.9</v>
      </c>
      <c r="EG17" s="32">
        <v>-355.47</v>
      </c>
      <c r="EH17" s="32">
        <v>-61.240000000000101</v>
      </c>
      <c r="EI17" s="32">
        <v>36.7899999999999</v>
      </c>
      <c r="EJ17" s="32">
        <v>79.369999999999905</v>
      </c>
      <c r="EK17" s="32">
        <v>-2594.6099999999901</v>
      </c>
      <c r="EL17" s="32">
        <v>143.61117586897001</v>
      </c>
      <c r="EM17" s="32">
        <v>397.21038826765403</v>
      </c>
      <c r="EN17" s="32">
        <v>4.4873283782942499</v>
      </c>
      <c r="EO17" s="32">
        <v>6.0516987199090702</v>
      </c>
      <c r="EP17" s="32">
        <v>4.6117013527931796</v>
      </c>
      <c r="EQ17" s="32">
        <v>1E-3</v>
      </c>
      <c r="ER17" s="32">
        <v>336.20749117049598</v>
      </c>
      <c r="ES17" s="32">
        <v>631.24769915147397</v>
      </c>
      <c r="ET17" s="32">
        <v>1363.6312688271</v>
      </c>
      <c r="EU17" s="32">
        <v>599.886531204172</v>
      </c>
      <c r="EV17" s="32">
        <v>472.302833631922</v>
      </c>
      <c r="EW17" s="32">
        <v>1173.7981044293899</v>
      </c>
      <c r="EX17" s="32">
        <v>74937</v>
      </c>
      <c r="EY17" s="32">
        <v>64.728745389991403</v>
      </c>
      <c r="EZ17" s="32">
        <v>1.61220371723175</v>
      </c>
      <c r="FA17" s="32">
        <v>0.94869583845138505</v>
      </c>
      <c r="FB17" s="32">
        <v>26</v>
      </c>
      <c r="FC17" s="32">
        <v>6</v>
      </c>
      <c r="FD17" s="32">
        <v>1</v>
      </c>
      <c r="FE17" s="32">
        <v>53</v>
      </c>
      <c r="FF17" s="32">
        <v>6</v>
      </c>
      <c r="FG17" s="32">
        <v>0</v>
      </c>
      <c r="FH17" s="32">
        <v>43</v>
      </c>
      <c r="FI17" s="32">
        <v>6</v>
      </c>
      <c r="FJ17" s="32">
        <v>4</v>
      </c>
      <c r="FK17" s="32">
        <v>504</v>
      </c>
      <c r="FL17" s="32">
        <v>1907</v>
      </c>
      <c r="FM17" s="32">
        <v>1845</v>
      </c>
      <c r="FN17" s="32">
        <v>541.48999999999899</v>
      </c>
      <c r="FO17" s="32">
        <v>3244.1</v>
      </c>
      <c r="FP17" s="32">
        <v>3160.6</v>
      </c>
      <c r="FQ17" s="32">
        <v>4939.8</v>
      </c>
      <c r="FR17" s="32">
        <v>10037.9999999999</v>
      </c>
      <c r="FS17" s="32">
        <v>26.3272578022038</v>
      </c>
      <c r="FT17" s="32">
        <v>356.68999999999897</v>
      </c>
      <c r="FU17" s="32">
        <v>48968</v>
      </c>
      <c r="FV17" s="32">
        <v>9870.3800000000392</v>
      </c>
      <c r="FW17" s="32">
        <v>42237</v>
      </c>
      <c r="FX17" s="33">
        <v>3.5466758957594098E-13</v>
      </c>
      <c r="FY17" s="32">
        <v>2316.13390576859</v>
      </c>
      <c r="FZ17" s="32">
        <v>8909.9121916849199</v>
      </c>
      <c r="GA17" s="32">
        <v>8074.0408591292498</v>
      </c>
      <c r="GB17" s="32">
        <v>4454.6927502762401</v>
      </c>
      <c r="GC17" s="32">
        <v>6605.0356921335997</v>
      </c>
      <c r="GD17" s="32">
        <v>7152.4463906110605</v>
      </c>
      <c r="GE17" s="32">
        <v>555.89</v>
      </c>
      <c r="GF17" s="32">
        <v>862.71500000000003</v>
      </c>
      <c r="GG17" s="32">
        <v>513.30499999999995</v>
      </c>
      <c r="GH17" s="32">
        <v>1180.277</v>
      </c>
      <c r="GI17" s="32">
        <v>11855.602999999999</v>
      </c>
      <c r="GJ17" s="32">
        <v>11458.947</v>
      </c>
      <c r="GK17" s="32">
        <v>15001.600999999901</v>
      </c>
      <c r="GL17" s="32">
        <v>894.30800000000295</v>
      </c>
      <c r="GM17" s="32">
        <v>2003.9379999999901</v>
      </c>
      <c r="GN17" s="32">
        <v>2183.319</v>
      </c>
      <c r="GO17" s="32">
        <v>-425.23999999999899</v>
      </c>
      <c r="GP17" s="32">
        <v>12639.943596666501</v>
      </c>
      <c r="GQ17" s="32">
        <v>122687.725261075</v>
      </c>
      <c r="GR17" s="32">
        <v>10.141047978911899</v>
      </c>
      <c r="GS17" s="32">
        <v>-1.55560329344877</v>
      </c>
      <c r="GT17" s="32">
        <v>-17.3571139628915</v>
      </c>
      <c r="GU17" s="32">
        <v>6.1052818252200201</v>
      </c>
      <c r="GV17" s="32">
        <v>6.1641222676026599</v>
      </c>
    </row>
    <row r="18" spans="1:204" x14ac:dyDescent="0.25">
      <c r="A18" s="27" t="s">
        <v>209</v>
      </c>
      <c r="B18" s="28"/>
      <c r="C18" s="34"/>
      <c r="D18" s="34"/>
      <c r="E18" s="34"/>
      <c r="F18" s="28" t="s">
        <v>209</v>
      </c>
      <c r="G18" s="28">
        <v>0.37</v>
      </c>
      <c r="H18" s="28">
        <v>0.24</v>
      </c>
      <c r="I18" s="28">
        <v>0.03</v>
      </c>
      <c r="J18" s="29"/>
      <c r="K18" s="30"/>
      <c r="L18" s="30"/>
      <c r="M18" s="30"/>
      <c r="N18" s="41" t="s">
        <v>209</v>
      </c>
      <c r="O18" s="30">
        <v>0.37</v>
      </c>
      <c r="P18" s="30">
        <v>0.26</v>
      </c>
      <c r="Q18" s="30">
        <v>0.14000000000000001</v>
      </c>
      <c r="R18" s="29"/>
      <c r="S18" s="31"/>
      <c r="T18" s="31"/>
      <c r="U18" s="31"/>
      <c r="V18" s="35"/>
      <c r="W18" s="29"/>
      <c r="X18" s="29"/>
      <c r="Y18" s="29"/>
      <c r="Z18" s="29" t="s">
        <v>210</v>
      </c>
      <c r="AA18" s="29">
        <v>0.37</v>
      </c>
      <c r="AB18" s="29">
        <v>0.47</v>
      </c>
      <c r="AC18" s="29">
        <v>0.38</v>
      </c>
      <c r="AD18" s="28" t="s">
        <v>209</v>
      </c>
      <c r="AE18" s="28">
        <v>0.18</v>
      </c>
      <c r="AF18" s="28">
        <v>0.12</v>
      </c>
      <c r="AG18" s="28">
        <v>7.0000000000000007E-2</v>
      </c>
      <c r="AH18" s="28" t="s">
        <v>209</v>
      </c>
      <c r="AI18" s="28">
        <v>0.37</v>
      </c>
      <c r="AJ18" s="28">
        <v>0.22</v>
      </c>
      <c r="AK18" s="28">
        <v>0.03</v>
      </c>
      <c r="AL18" s="32" t="s">
        <v>209</v>
      </c>
      <c r="AM18" s="32">
        <v>12</v>
      </c>
      <c r="AN18" s="32">
        <v>-2.98003992015968E-2</v>
      </c>
      <c r="AO18" s="32">
        <v>2904.6999999999898</v>
      </c>
      <c r="AP18" s="32">
        <v>2930.7199999999898</v>
      </c>
      <c r="AQ18" s="32">
        <v>502.52100000000002</v>
      </c>
      <c r="AR18" s="32">
        <v>367.75987638283902</v>
      </c>
      <c r="AS18" s="32">
        <v>-15.881799999999901</v>
      </c>
      <c r="AT18" s="32">
        <v>87.274799999999999</v>
      </c>
      <c r="AU18" s="32">
        <v>4.4797218370350299E-2</v>
      </c>
      <c r="AV18" s="32">
        <v>-660.999523809523</v>
      </c>
      <c r="AW18" s="32">
        <v>1040.1788578877799</v>
      </c>
      <c r="AX18" s="32">
        <v>1.9999999999974201</v>
      </c>
      <c r="AY18" s="32">
        <v>4.9842243023714801E-3</v>
      </c>
      <c r="AZ18" s="32">
        <v>2.98301382265625E-2</v>
      </c>
      <c r="BA18" s="32">
        <v>4.6863841329024998E-2</v>
      </c>
      <c r="BB18" s="32">
        <v>0.43990444830681202</v>
      </c>
      <c r="BC18" s="32">
        <v>817.28889358525498</v>
      </c>
      <c r="BD18" s="32">
        <v>2270.95089887618</v>
      </c>
      <c r="BE18" s="32">
        <v>1736.33788341031</v>
      </c>
      <c r="BF18" s="32">
        <v>1120.8221773708201</v>
      </c>
      <c r="BG18" s="32">
        <v>0.56009555169318803</v>
      </c>
      <c r="BH18" s="32">
        <v>40.029135620930901</v>
      </c>
      <c r="BI18" s="32">
        <v>5609.0185552818002</v>
      </c>
      <c r="BJ18" s="32">
        <v>3784.2994530869701</v>
      </c>
      <c r="BK18" s="32">
        <v>2951.60173275852</v>
      </c>
      <c r="BL18" s="32">
        <v>4.4224055001936602E-2</v>
      </c>
      <c r="BM18" s="32">
        <v>0.441572063298873</v>
      </c>
      <c r="BN18" s="32">
        <v>6179.7854414077601</v>
      </c>
      <c r="BO18" s="32">
        <v>4801.4394626231197</v>
      </c>
      <c r="BP18" s="32">
        <v>4185.8853629494197</v>
      </c>
      <c r="BQ18" s="32">
        <v>8.0797414272524501E-2</v>
      </c>
      <c r="BR18" s="32">
        <v>0.55841244212583496</v>
      </c>
      <c r="BS18" s="32">
        <v>22072.2409999999</v>
      </c>
      <c r="BT18" s="32">
        <v>6.8518682895145897</v>
      </c>
      <c r="BU18" s="32">
        <v>-214.42644260743</v>
      </c>
      <c r="BV18" s="32">
        <v>16.706580757317401</v>
      </c>
      <c r="BW18" s="32">
        <v>505.91999999999899</v>
      </c>
      <c r="BX18" s="32">
        <v>508.88399999999803</v>
      </c>
      <c r="BY18" s="32">
        <v>505.590000000001</v>
      </c>
      <c r="BZ18" s="32">
        <v>496.99</v>
      </c>
      <c r="CA18" s="32">
        <v>0.91902314204058699</v>
      </c>
      <c r="CB18" s="32">
        <v>-660.99952380952504</v>
      </c>
      <c r="CC18" s="32">
        <v>223.44999999999899</v>
      </c>
      <c r="CD18" s="32">
        <v>62034</v>
      </c>
      <c r="CE18" s="32">
        <v>0.59601846006899994</v>
      </c>
      <c r="CF18" s="32">
        <v>1.2418816022482899</v>
      </c>
      <c r="CG18" s="32">
        <v>1.1044198315328599</v>
      </c>
      <c r="CH18" s="32">
        <v>146.842356002527</v>
      </c>
      <c r="CI18" s="32">
        <v>119.204479792675</v>
      </c>
      <c r="CJ18" s="32">
        <v>135.03159210120501</v>
      </c>
      <c r="CK18" s="32">
        <v>497.900000000001</v>
      </c>
      <c r="CL18" s="32">
        <v>500.65099999999899</v>
      </c>
      <c r="CM18" s="32">
        <v>504.07999999999799</v>
      </c>
      <c r="CN18" s="32">
        <v>488.7</v>
      </c>
      <c r="CO18" s="32">
        <v>493.39100000000099</v>
      </c>
      <c r="CP18" s="32">
        <v>492.74999999999898</v>
      </c>
      <c r="CQ18" s="32">
        <v>7390.0799999999799</v>
      </c>
      <c r="CR18" s="32">
        <v>496.78199999999998</v>
      </c>
      <c r="CS18" s="32">
        <v>1</v>
      </c>
      <c r="CT18" s="32">
        <v>95.919970512800901</v>
      </c>
      <c r="CU18" s="32">
        <v>0.124042230768248</v>
      </c>
      <c r="CV18" s="32">
        <v>0.73118361475841898</v>
      </c>
      <c r="CW18" s="32">
        <v>0.67080850210387699</v>
      </c>
      <c r="CX18" s="32">
        <v>1040.1788578877799</v>
      </c>
      <c r="CY18" s="32">
        <v>10.170999999999999</v>
      </c>
      <c r="CZ18" s="32">
        <v>10434.41</v>
      </c>
      <c r="DA18" s="32">
        <v>40.275999999999897</v>
      </c>
      <c r="DB18" s="33">
        <v>8.5747652575064004E-11</v>
      </c>
      <c r="DC18" s="33">
        <v>3.5717037141081698E-5</v>
      </c>
      <c r="DD18" s="32">
        <v>110.01300000000001</v>
      </c>
      <c r="DE18" s="32">
        <v>2</v>
      </c>
      <c r="DF18" s="32">
        <v>917.69999999999698</v>
      </c>
      <c r="DG18" s="32">
        <v>1119.19999999999</v>
      </c>
      <c r="DH18" s="32">
        <v>1125.2</v>
      </c>
      <c r="DI18" s="32">
        <v>749.5</v>
      </c>
      <c r="DJ18" s="32">
        <v>51.112969160479103</v>
      </c>
      <c r="DK18" s="32">
        <v>0.89757065831433902</v>
      </c>
      <c r="DL18" s="32">
        <v>1.8293266369179599E-2</v>
      </c>
      <c r="DM18" s="32">
        <v>0.44049094172151798</v>
      </c>
      <c r="DN18" s="32">
        <v>139.26999999999899</v>
      </c>
      <c r="DO18" s="32">
        <v>254.27199999999999</v>
      </c>
      <c r="DP18" s="32">
        <v>-14.96</v>
      </c>
      <c r="DQ18" s="32">
        <v>143.33000000000001</v>
      </c>
      <c r="DR18" s="32">
        <v>-0.66999999999995696</v>
      </c>
      <c r="DS18" s="32">
        <v>165.45</v>
      </c>
      <c r="DT18" s="32">
        <v>14.5099999999999</v>
      </c>
      <c r="DU18" s="32">
        <v>50.700000000000301</v>
      </c>
      <c r="DV18" s="32">
        <v>804.80000000000098</v>
      </c>
      <c r="DW18" s="32">
        <v>46.189999999999898</v>
      </c>
      <c r="DX18" s="32">
        <v>-23.139999999999699</v>
      </c>
      <c r="DY18" s="32">
        <v>761.599999999999</v>
      </c>
      <c r="DZ18" s="32">
        <v>-74.000000000000199</v>
      </c>
      <c r="EA18" s="32">
        <v>-166.2</v>
      </c>
      <c r="EB18" s="32">
        <v>6421.9899999999898</v>
      </c>
      <c r="EC18" s="32">
        <v>2737.0599999999899</v>
      </c>
      <c r="ED18" s="32">
        <v>437.95</v>
      </c>
      <c r="EE18" s="32">
        <v>2368.2999999999902</v>
      </c>
      <c r="EF18" s="32">
        <v>362.43</v>
      </c>
      <c r="EG18" s="32">
        <v>-245.17</v>
      </c>
      <c r="EH18" s="32">
        <v>-33.290000000000099</v>
      </c>
      <c r="EI18" s="32">
        <v>61.869999999999798</v>
      </c>
      <c r="EJ18" s="32">
        <v>-150.77999999999901</v>
      </c>
      <c r="EK18" s="32">
        <v>-2091.26999999999</v>
      </c>
      <c r="EL18" s="32">
        <v>817.28889358525498</v>
      </c>
      <c r="EM18" s="32">
        <v>707.91695853978797</v>
      </c>
      <c r="EN18" s="32">
        <v>3.7953476752319402</v>
      </c>
      <c r="EO18" s="32">
        <v>4.0606543161172102</v>
      </c>
      <c r="EP18" s="32">
        <v>3.7461875267643401</v>
      </c>
      <c r="EQ18" s="32">
        <v>1E-3</v>
      </c>
      <c r="ER18" s="32">
        <v>310.08670038045199</v>
      </c>
      <c r="ES18" s="32">
        <v>1017.42295394616</v>
      </c>
      <c r="ET18" s="32">
        <v>1184.0424547289099</v>
      </c>
      <c r="EU18" s="32">
        <v>420.70790818062102</v>
      </c>
      <c r="EV18" s="32">
        <v>806.03939510451403</v>
      </c>
      <c r="EW18" s="32">
        <v>998.87494196985904</v>
      </c>
      <c r="EX18" s="32">
        <v>64578</v>
      </c>
      <c r="EY18" s="32">
        <v>55.624898759992803</v>
      </c>
      <c r="EZ18" s="32">
        <v>11.5819902420043</v>
      </c>
      <c r="FA18" s="32">
        <v>9.2926731109619105</v>
      </c>
      <c r="FB18" s="32">
        <v>26</v>
      </c>
      <c r="FC18" s="32">
        <v>3</v>
      </c>
      <c r="FD18" s="32">
        <v>0</v>
      </c>
      <c r="FE18" s="32">
        <v>40</v>
      </c>
      <c r="FF18" s="32">
        <v>4</v>
      </c>
      <c r="FG18" s="32">
        <v>2</v>
      </c>
      <c r="FH18" s="32">
        <v>42</v>
      </c>
      <c r="FI18" s="32">
        <v>6</v>
      </c>
      <c r="FJ18" s="32">
        <v>3</v>
      </c>
      <c r="FK18" s="32">
        <v>423</v>
      </c>
      <c r="FL18" s="32">
        <v>2533</v>
      </c>
      <c r="FM18" s="32">
        <v>1714</v>
      </c>
      <c r="FN18" s="32">
        <v>520.85</v>
      </c>
      <c r="FO18" s="32">
        <v>2839.6999999999898</v>
      </c>
      <c r="FP18" s="32">
        <v>3028.0999999999899</v>
      </c>
      <c r="FQ18" s="32">
        <v>4301.8999999999896</v>
      </c>
      <c r="FR18" s="32">
        <v>7425.9</v>
      </c>
      <c r="FS18" s="32">
        <v>24.559932664484499</v>
      </c>
      <c r="FT18" s="32">
        <v>273.62999999999897</v>
      </c>
      <c r="FU18" s="32">
        <v>43661</v>
      </c>
      <c r="FV18" s="32">
        <v>7773.6600000000199</v>
      </c>
      <c r="FW18" s="32">
        <v>39008</v>
      </c>
      <c r="FX18" s="33">
        <v>2.6929982075517902E-13</v>
      </c>
      <c r="FY18" s="32">
        <v>2275.5396273357801</v>
      </c>
      <c r="FZ18" s="32">
        <v>5921.5140144041097</v>
      </c>
      <c r="GA18" s="32">
        <v>6263.5258644011801</v>
      </c>
      <c r="GB18" s="32">
        <v>3817.9012560657002</v>
      </c>
      <c r="GC18" s="32">
        <v>4768.1791917070204</v>
      </c>
      <c r="GD18" s="32">
        <v>5671.3268682506296</v>
      </c>
      <c r="GE18" s="32">
        <v>502.150000000001</v>
      </c>
      <c r="GF18" s="32">
        <v>658.41800000000001</v>
      </c>
      <c r="GG18" s="32">
        <v>988.77499999999895</v>
      </c>
      <c r="GH18" s="32">
        <v>1034.3900000000001</v>
      </c>
      <c r="GI18" s="32">
        <v>9709.6769999999997</v>
      </c>
      <c r="GJ18" s="32">
        <v>9357.81699999999</v>
      </c>
      <c r="GK18" s="32">
        <v>12362.5639999999</v>
      </c>
      <c r="GL18" s="32">
        <v>956.76</v>
      </c>
      <c r="GM18" s="32">
        <v>976.123999999999</v>
      </c>
      <c r="GN18" s="32">
        <v>1783.3799999999901</v>
      </c>
      <c r="GO18" s="32">
        <v>-254.33</v>
      </c>
      <c r="GP18" s="32">
        <v>10456.583713333301</v>
      </c>
      <c r="GQ18" s="32">
        <v>105706.489429422</v>
      </c>
      <c r="GR18" s="32">
        <v>16.137076447105901</v>
      </c>
      <c r="GS18" s="32">
        <v>0.60148869416598105</v>
      </c>
      <c r="GT18" s="32">
        <v>6.91404799874236</v>
      </c>
      <c r="GU18" s="32">
        <v>7.5063327836612697</v>
      </c>
      <c r="GV18" s="32">
        <v>7.6207577976907599</v>
      </c>
    </row>
    <row r="19" spans="1:204" x14ac:dyDescent="0.25">
      <c r="A19" s="27" t="s">
        <v>211</v>
      </c>
      <c r="B19" s="28" t="s">
        <v>211</v>
      </c>
      <c r="C19" s="28">
        <v>0.14000000000000001</v>
      </c>
      <c r="D19" s="28">
        <v>0.02</v>
      </c>
      <c r="E19" s="28">
        <v>0.02</v>
      </c>
      <c r="F19" s="28" t="s">
        <v>211</v>
      </c>
      <c r="G19" s="28">
        <v>0.67</v>
      </c>
      <c r="H19" s="28">
        <v>0.25</v>
      </c>
      <c r="I19" s="28">
        <v>0.08</v>
      </c>
      <c r="J19" s="29" t="s">
        <v>211</v>
      </c>
      <c r="K19" s="30">
        <v>0.13</v>
      </c>
      <c r="L19" s="30">
        <v>0.1</v>
      </c>
      <c r="M19" s="30">
        <v>0.1</v>
      </c>
      <c r="N19" s="41" t="s">
        <v>211</v>
      </c>
      <c r="O19" s="30">
        <v>0.68</v>
      </c>
      <c r="P19" s="30">
        <v>0.6</v>
      </c>
      <c r="Q19" s="30">
        <v>0.4</v>
      </c>
      <c r="R19" s="29" t="s">
        <v>211</v>
      </c>
      <c r="S19" s="31">
        <v>1.26</v>
      </c>
      <c r="T19" s="31">
        <v>0.21</v>
      </c>
      <c r="U19" s="31">
        <v>0.24</v>
      </c>
      <c r="V19" s="29" t="s">
        <v>211</v>
      </c>
      <c r="W19" s="31">
        <v>0.67</v>
      </c>
      <c r="X19" s="31">
        <v>0.14000000000000001</v>
      </c>
      <c r="Y19" s="31">
        <v>0.12</v>
      </c>
      <c r="Z19" s="29" t="s">
        <v>211</v>
      </c>
      <c r="AA19" s="29">
        <v>0.67</v>
      </c>
      <c r="AB19" s="29">
        <v>0.45</v>
      </c>
      <c r="AC19" s="29">
        <v>0.39</v>
      </c>
      <c r="AD19" s="28" t="s">
        <v>211</v>
      </c>
      <c r="AE19" s="28">
        <v>0.18</v>
      </c>
      <c r="AF19" s="28">
        <v>0.16</v>
      </c>
      <c r="AG19" s="28">
        <v>0.14000000000000001</v>
      </c>
      <c r="AH19" s="28" t="s">
        <v>211</v>
      </c>
      <c r="AI19" s="28">
        <v>0.47</v>
      </c>
      <c r="AJ19" s="28">
        <v>0.36</v>
      </c>
      <c r="AK19" s="28">
        <v>0.3</v>
      </c>
      <c r="AL19" s="32" t="s">
        <v>211</v>
      </c>
      <c r="AM19" s="32">
        <v>22</v>
      </c>
      <c r="AN19" s="32">
        <v>1.06400476758044E-2</v>
      </c>
      <c r="AO19" s="32">
        <v>4909.49999999998</v>
      </c>
      <c r="AP19" s="32">
        <v>4957.3299999999899</v>
      </c>
      <c r="AQ19" s="32">
        <v>842.23899999999901</v>
      </c>
      <c r="AR19" s="32">
        <v>418.36754812712002</v>
      </c>
      <c r="AS19" s="32">
        <v>6.3936000000000002</v>
      </c>
      <c r="AT19" s="32">
        <v>169.85740000000001</v>
      </c>
      <c r="AU19" s="32">
        <v>2.1096312961078001E-2</v>
      </c>
      <c r="AV19" s="32">
        <v>-1235.7535238095199</v>
      </c>
      <c r="AW19" s="32">
        <v>2156.59628908593</v>
      </c>
      <c r="AX19" s="32">
        <v>-7.0000000000929798</v>
      </c>
      <c r="AY19" s="32">
        <v>3.32680003147469E-3</v>
      </c>
      <c r="AZ19" s="32">
        <v>3.28477195469037E-2</v>
      </c>
      <c r="BA19" s="32">
        <v>3.9515238239933297E-2</v>
      </c>
      <c r="BB19" s="32">
        <v>0.44345915321281998</v>
      </c>
      <c r="BC19" s="32">
        <v>1747.0176563273801</v>
      </c>
      <c r="BD19" s="32">
        <v>2861.2229401539998</v>
      </c>
      <c r="BE19" s="32">
        <v>1639.53709678783</v>
      </c>
      <c r="BF19" s="32">
        <v>825.07237296176095</v>
      </c>
      <c r="BG19" s="32">
        <v>0.55654084678718696</v>
      </c>
      <c r="BH19" s="32">
        <v>20.036706577047202</v>
      </c>
      <c r="BI19" s="32">
        <v>8877.1943855448008</v>
      </c>
      <c r="BJ19" s="32">
        <v>5788.7763932635398</v>
      </c>
      <c r="BK19" s="32">
        <v>4718.8435738090602</v>
      </c>
      <c r="BL19" s="32">
        <v>5.2188119997644798E-2</v>
      </c>
      <c r="BM19" s="32">
        <v>0.43013268351683098</v>
      </c>
      <c r="BN19" s="32">
        <v>8617.1941575992696</v>
      </c>
      <c r="BO19" s="32">
        <v>6382.4422387083596</v>
      </c>
      <c r="BP19" s="32">
        <v>5694.0853648201301</v>
      </c>
      <c r="BQ19" s="32">
        <v>7.3111161479369205E-2</v>
      </c>
      <c r="BR19" s="32">
        <v>0.56986731648317401</v>
      </c>
      <c r="BS19" s="32">
        <v>32330.7679999996</v>
      </c>
      <c r="BT19" s="32">
        <v>-24.206898182531098</v>
      </c>
      <c r="BU19" s="32">
        <v>-319.61827370877597</v>
      </c>
      <c r="BV19" s="32">
        <v>19.9703619995196</v>
      </c>
      <c r="BW19" s="32">
        <v>845.70000000000095</v>
      </c>
      <c r="BX19" s="32">
        <v>849.23300000000199</v>
      </c>
      <c r="BY19" s="32">
        <v>851.21000000000197</v>
      </c>
      <c r="BZ19" s="32">
        <v>845.56999999999505</v>
      </c>
      <c r="CA19" s="32">
        <v>-3.7523940276238101</v>
      </c>
      <c r="CB19" s="32">
        <v>-1235.7535238095199</v>
      </c>
      <c r="CC19" s="32">
        <v>371.89999999999901</v>
      </c>
      <c r="CD19" s="32">
        <v>105438.6</v>
      </c>
      <c r="CE19" s="32">
        <v>0.51821297111392695</v>
      </c>
      <c r="CF19" s="32">
        <v>1.19205924797313</v>
      </c>
      <c r="CG19" s="32">
        <v>1.0924682260093199</v>
      </c>
      <c r="CH19" s="32">
        <v>138.95221881134901</v>
      </c>
      <c r="CI19" s="32">
        <v>105.58669355285799</v>
      </c>
      <c r="CJ19" s="32">
        <v>134.547773139822</v>
      </c>
      <c r="CK19" s="32">
        <v>840.51000000000101</v>
      </c>
      <c r="CL19" s="32">
        <v>836.52499999999895</v>
      </c>
      <c r="CM19" s="32">
        <v>836.90999999999894</v>
      </c>
      <c r="CN19" s="32">
        <v>820.72</v>
      </c>
      <c r="CO19" s="32">
        <v>817.19000000000096</v>
      </c>
      <c r="CP19" s="32">
        <v>829.14</v>
      </c>
      <c r="CQ19" s="32">
        <v>12832.389999999899</v>
      </c>
      <c r="CR19" s="32">
        <v>838.44199999999796</v>
      </c>
      <c r="CS19" s="32">
        <v>1</v>
      </c>
      <c r="CT19" s="32">
        <v>95.919970512800901</v>
      </c>
      <c r="CU19" s="32">
        <v>0.999549736974369</v>
      </c>
      <c r="CV19" s="32">
        <v>1.6774366629517701E-2</v>
      </c>
      <c r="CW19" s="32">
        <v>2.4878583935743302E-2</v>
      </c>
      <c r="CX19" s="32">
        <v>2156.59628908593</v>
      </c>
      <c r="CY19" s="32">
        <v>14.824</v>
      </c>
      <c r="CZ19" s="32">
        <v>17598.319999999901</v>
      </c>
      <c r="DA19" s="32">
        <v>69.5949999999998</v>
      </c>
      <c r="DB19" s="33">
        <v>8.9697219885532494E-11</v>
      </c>
      <c r="DC19" s="32">
        <v>-1.26274431778875E-4</v>
      </c>
      <c r="DD19" s="32">
        <v>107.55800000000001</v>
      </c>
      <c r="DE19" s="32">
        <v>-7</v>
      </c>
      <c r="DF19" s="32">
        <v>1979.69999999999</v>
      </c>
      <c r="DG19" s="32">
        <v>2589</v>
      </c>
      <c r="DH19" s="32">
        <v>2485.1999999999898</v>
      </c>
      <c r="DI19" s="32">
        <v>1603.29999999999</v>
      </c>
      <c r="DJ19" s="32">
        <v>53.467250660611001</v>
      </c>
      <c r="DK19" s="32">
        <v>0.20433882415100399</v>
      </c>
      <c r="DL19" s="32">
        <v>2.77226343890845E-2</v>
      </c>
      <c r="DM19" s="32">
        <v>0.97850758836460405</v>
      </c>
      <c r="DN19" s="32">
        <v>330.25</v>
      </c>
      <c r="DO19" s="32">
        <v>441.69199999999802</v>
      </c>
      <c r="DP19" s="32">
        <v>-91.950000000000202</v>
      </c>
      <c r="DQ19" s="32">
        <v>234.849999999999</v>
      </c>
      <c r="DR19" s="32">
        <v>28.719999999999899</v>
      </c>
      <c r="DS19" s="32">
        <v>332.539999999999</v>
      </c>
      <c r="DT19" s="32">
        <v>12.35</v>
      </c>
      <c r="DU19" s="32">
        <v>-27.099999999999898</v>
      </c>
      <c r="DV19" s="32">
        <v>1027.9000000000001</v>
      </c>
      <c r="DW19" s="32">
        <v>125.409999999999</v>
      </c>
      <c r="DX19" s="32">
        <v>18.3200000000001</v>
      </c>
      <c r="DY19" s="32">
        <v>1460.8</v>
      </c>
      <c r="DZ19" s="32">
        <v>-119.5</v>
      </c>
      <c r="EA19" s="32">
        <v>-259.39999999999901</v>
      </c>
      <c r="EB19" s="32">
        <v>10751.059999999899</v>
      </c>
      <c r="EC19" s="32">
        <v>4602.9399999999696</v>
      </c>
      <c r="ED19" s="32">
        <v>732.780000000006</v>
      </c>
      <c r="EE19" s="32">
        <v>4124.1999999999898</v>
      </c>
      <c r="EF19" s="32">
        <v>606.73000000000104</v>
      </c>
      <c r="EG19" s="32">
        <v>-305.13</v>
      </c>
      <c r="EH19" s="32">
        <v>-27.16</v>
      </c>
      <c r="EI19" s="32">
        <v>143.83999999999901</v>
      </c>
      <c r="EJ19" s="32">
        <v>-155.42999999999901</v>
      </c>
      <c r="EK19" s="32">
        <v>-3411.0099999999902</v>
      </c>
      <c r="EL19" s="32">
        <v>1747.0176563273801</v>
      </c>
      <c r="EM19" s="32">
        <v>890.94611703580699</v>
      </c>
      <c r="EN19" s="32">
        <v>4.9673667160118198</v>
      </c>
      <c r="EO19" s="32">
        <v>9.9701173406965093</v>
      </c>
      <c r="EP19" s="32">
        <v>10.7016328154621</v>
      </c>
      <c r="EQ19" s="32">
        <v>1E-3</v>
      </c>
      <c r="ER19" s="32">
        <v>214.51164298360899</v>
      </c>
      <c r="ES19" s="32">
        <v>1014.79293895897</v>
      </c>
      <c r="ET19" s="32">
        <v>1642.1089413729501</v>
      </c>
      <c r="EU19" s="32">
        <v>390.73089749360003</v>
      </c>
      <c r="EV19" s="32">
        <v>779.63058693746802</v>
      </c>
      <c r="EW19" s="32">
        <v>1416.2002866914099</v>
      </c>
      <c r="EX19" s="32">
        <v>109355</v>
      </c>
      <c r="EY19" s="32">
        <v>94.363224840042093</v>
      </c>
      <c r="EZ19" s="32">
        <v>5.5551638603210396</v>
      </c>
      <c r="FA19" s="32">
        <v>3.2986462116241402</v>
      </c>
      <c r="FB19" s="32">
        <v>40</v>
      </c>
      <c r="FC19" s="32">
        <v>6</v>
      </c>
      <c r="FD19" s="32">
        <v>0</v>
      </c>
      <c r="FE19" s="32">
        <v>73</v>
      </c>
      <c r="FF19" s="32">
        <v>7</v>
      </c>
      <c r="FG19" s="32">
        <v>4</v>
      </c>
      <c r="FH19" s="32">
        <v>59</v>
      </c>
      <c r="FI19" s="32">
        <v>6</v>
      </c>
      <c r="FJ19" s="32">
        <v>3</v>
      </c>
      <c r="FK19" s="32">
        <v>705</v>
      </c>
      <c r="FL19" s="32">
        <v>4221</v>
      </c>
      <c r="FM19" s="32">
        <v>2955</v>
      </c>
      <c r="FN19" s="32">
        <v>851.13</v>
      </c>
      <c r="FO19" s="32">
        <v>4781</v>
      </c>
      <c r="FP19" s="32">
        <v>5062.5999999999804</v>
      </c>
      <c r="FQ19" s="32">
        <v>7106.2999999999802</v>
      </c>
      <c r="FR19" s="32">
        <v>11312.9899999999</v>
      </c>
      <c r="FS19" s="32">
        <v>28.3641101180242</v>
      </c>
      <c r="FT19" s="32">
        <v>446.05999999999801</v>
      </c>
      <c r="FU19" s="32">
        <v>73616</v>
      </c>
      <c r="FV19" s="32">
        <v>13262</v>
      </c>
      <c r="FW19" s="32">
        <v>65072</v>
      </c>
      <c r="FX19" s="33">
        <v>4.36729835712499E-13</v>
      </c>
      <c r="FY19" s="32">
        <v>2880.2736861240701</v>
      </c>
      <c r="FZ19" s="32">
        <v>9188.1883994190794</v>
      </c>
      <c r="GA19" s="32">
        <v>8672.3608550984209</v>
      </c>
      <c r="GB19" s="32">
        <v>5558.0887524539803</v>
      </c>
      <c r="GC19" s="32">
        <v>7707.8286293586498</v>
      </c>
      <c r="GD19" s="32">
        <v>7938.31861524953</v>
      </c>
      <c r="GE19" s="32">
        <v>845.669999999997</v>
      </c>
      <c r="GF19" s="32">
        <v>1061.992</v>
      </c>
      <c r="GG19" s="32">
        <v>682.06</v>
      </c>
      <c r="GH19" s="32">
        <v>1277.558</v>
      </c>
      <c r="GI19" s="32">
        <v>14337.375</v>
      </c>
      <c r="GJ19" s="32">
        <v>13806.802</v>
      </c>
      <c r="GK19" s="32">
        <v>17993.392999999902</v>
      </c>
      <c r="GL19" s="32">
        <v>977.730000000004</v>
      </c>
      <c r="GM19" s="32">
        <v>1687.2819999999999</v>
      </c>
      <c r="GN19" s="32">
        <v>2363.7399999999998</v>
      </c>
      <c r="GO19" s="32">
        <v>-377.26999999999799</v>
      </c>
      <c r="GP19" s="32">
        <v>15218.6088116665</v>
      </c>
      <c r="GQ19" s="32">
        <v>180930.04898089101</v>
      </c>
      <c r="GR19" s="32">
        <v>25.699936471997901</v>
      </c>
      <c r="GS19" s="32">
        <v>0.70193686297329105</v>
      </c>
      <c r="GT19" s="32">
        <v>-24.4227146857164</v>
      </c>
      <c r="GU19" s="32">
        <v>6.25153684031201</v>
      </c>
      <c r="GV19" s="32">
        <v>6.38619747508411</v>
      </c>
    </row>
    <row r="20" spans="1:204" x14ac:dyDescent="0.25">
      <c r="A20" s="27" t="s">
        <v>212</v>
      </c>
      <c r="B20" s="28" t="s">
        <v>212</v>
      </c>
      <c r="C20" s="28">
        <v>0.31</v>
      </c>
      <c r="D20" s="28">
        <v>0.28000000000000003</v>
      </c>
      <c r="E20" s="28">
        <v>0.25</v>
      </c>
      <c r="F20" s="28" t="s">
        <v>212</v>
      </c>
      <c r="G20" s="28">
        <v>1.32</v>
      </c>
      <c r="H20" s="28">
        <v>1.05</v>
      </c>
      <c r="I20" s="28">
        <v>0.79</v>
      </c>
      <c r="J20" s="29" t="s">
        <v>212</v>
      </c>
      <c r="K20" s="30">
        <v>0.31</v>
      </c>
      <c r="L20" s="30">
        <v>0.28999999999999998</v>
      </c>
      <c r="M20" s="30">
        <v>0.24</v>
      </c>
      <c r="N20" s="41" t="s">
        <v>213</v>
      </c>
      <c r="O20" s="29">
        <v>1.32</v>
      </c>
      <c r="P20" s="29">
        <v>1.23</v>
      </c>
      <c r="Q20" s="29">
        <v>1.25</v>
      </c>
      <c r="R20" s="29" t="s">
        <v>212</v>
      </c>
      <c r="S20" s="31">
        <v>2</v>
      </c>
      <c r="T20" s="31">
        <v>0.37</v>
      </c>
      <c r="U20" s="31">
        <v>0.41</v>
      </c>
      <c r="V20" s="29" t="s">
        <v>212</v>
      </c>
      <c r="W20" s="29">
        <v>1.32</v>
      </c>
      <c r="X20" s="29">
        <v>0.31</v>
      </c>
      <c r="Y20" s="29">
        <v>0.34</v>
      </c>
      <c r="Z20" s="29" t="s">
        <v>212</v>
      </c>
      <c r="AA20" s="29">
        <v>1.33</v>
      </c>
      <c r="AB20" s="29">
        <v>0.92</v>
      </c>
      <c r="AC20" s="29">
        <v>0.81</v>
      </c>
      <c r="AD20" s="28" t="s">
        <v>212</v>
      </c>
      <c r="AE20" s="28">
        <v>0.31</v>
      </c>
      <c r="AF20" s="28">
        <v>0.28999999999999998</v>
      </c>
      <c r="AG20" s="28">
        <v>0.27</v>
      </c>
      <c r="AH20" s="28" t="s">
        <v>212</v>
      </c>
      <c r="AI20" s="28">
        <v>1.34</v>
      </c>
      <c r="AJ20" s="28">
        <v>1.18</v>
      </c>
      <c r="AK20" s="28">
        <v>1.1000000000000001</v>
      </c>
      <c r="AL20" s="32" t="s">
        <v>212</v>
      </c>
      <c r="AM20" s="32">
        <v>4</v>
      </c>
      <c r="AN20" s="32">
        <v>-0.12623255813953499</v>
      </c>
      <c r="AO20" s="32">
        <v>718.3</v>
      </c>
      <c r="AP20" s="32">
        <v>711.52</v>
      </c>
      <c r="AQ20" s="32">
        <v>128.93299999999999</v>
      </c>
      <c r="AR20" s="32">
        <v>65.496686278118105</v>
      </c>
      <c r="AS20" s="32">
        <v>-17.831800000000001</v>
      </c>
      <c r="AT20" s="32">
        <v>14.9805999999999</v>
      </c>
      <c r="AU20" s="32">
        <v>2.41228366699929E-2</v>
      </c>
      <c r="AV20" s="32">
        <v>-194.52314285714201</v>
      </c>
      <c r="AW20" s="32">
        <v>122.99946006022699</v>
      </c>
      <c r="AX20" s="32">
        <v>7.0000000000001004</v>
      </c>
      <c r="AY20" s="32">
        <v>4.14013820192071E-3</v>
      </c>
      <c r="AZ20" s="32">
        <v>3.4956426160949898E-2</v>
      </c>
      <c r="BA20" s="32">
        <v>5.2019829154132897E-2</v>
      </c>
      <c r="BB20" s="32">
        <v>0.52030601295842005</v>
      </c>
      <c r="BC20" s="32">
        <v>595.88834546553005</v>
      </c>
      <c r="BD20" s="32">
        <v>411.68575908836198</v>
      </c>
      <c r="BE20" s="32">
        <v>301.34548445571698</v>
      </c>
      <c r="BF20" s="32">
        <v>167.54320934516801</v>
      </c>
      <c r="BG20" s="32">
        <v>0.47969398704157901</v>
      </c>
      <c r="BH20" s="32">
        <v>11.6678378360994</v>
      </c>
      <c r="BI20" s="32">
        <v>1101.8574734936201</v>
      </c>
      <c r="BJ20" s="32">
        <v>626.89566228032697</v>
      </c>
      <c r="BK20" s="32">
        <v>395.18547554666901</v>
      </c>
      <c r="BL20" s="32">
        <v>2.5384093708318001E-2</v>
      </c>
      <c r="BM20" s="32">
        <v>0.50726435977571005</v>
      </c>
      <c r="BN20" s="32">
        <v>2219.12985426467</v>
      </c>
      <c r="BO20" s="32">
        <v>1568.9328549125401</v>
      </c>
      <c r="BP20" s="32">
        <v>1520.2473163243601</v>
      </c>
      <c r="BQ20" s="32">
        <v>9.2288558783592295E-2</v>
      </c>
      <c r="BR20" s="32">
        <v>0.49273564022428901</v>
      </c>
      <c r="BS20" s="32">
        <v>6656.05799999999</v>
      </c>
      <c r="BT20" s="32">
        <v>23.5171686676733</v>
      </c>
      <c r="BU20" s="32">
        <v>-75.311286130172505</v>
      </c>
      <c r="BV20" s="32">
        <v>10.400578775906199</v>
      </c>
      <c r="BW20" s="32">
        <v>123.02999999999901</v>
      </c>
      <c r="BX20" s="32">
        <v>127.91800000000001</v>
      </c>
      <c r="BY20" s="32">
        <v>127.719999999999</v>
      </c>
      <c r="BZ20" s="32">
        <v>129.52000000000001</v>
      </c>
      <c r="CA20" s="32">
        <v>1.88558613205506</v>
      </c>
      <c r="CB20" s="32">
        <v>-194.523142857143</v>
      </c>
      <c r="CC20" s="32">
        <v>56.96</v>
      </c>
      <c r="CD20" s="32">
        <v>15904.5</v>
      </c>
      <c r="CE20" s="32">
        <v>0.62524753614935502</v>
      </c>
      <c r="CF20" s="32">
        <v>1.1465745158621901</v>
      </c>
      <c r="CG20" s="32">
        <v>1.0689676390940499</v>
      </c>
      <c r="CH20" s="32">
        <v>109.739405938264</v>
      </c>
      <c r="CI20" s="32">
        <v>56.731620699563997</v>
      </c>
      <c r="CJ20" s="32">
        <v>259.49450819500203</v>
      </c>
      <c r="CK20" s="32">
        <v>130.30000000000001</v>
      </c>
      <c r="CL20" s="32">
        <v>126.566</v>
      </c>
      <c r="CM20" s="32">
        <v>125.469999999999</v>
      </c>
      <c r="CN20" s="32">
        <v>136.88</v>
      </c>
      <c r="CO20" s="32">
        <v>132.67599999999999</v>
      </c>
      <c r="CP20" s="32">
        <v>129.349999999999</v>
      </c>
      <c r="CQ20" s="32">
        <v>1828.22</v>
      </c>
      <c r="CR20" s="32">
        <v>129.70500000000001</v>
      </c>
      <c r="CS20" s="32">
        <v>1</v>
      </c>
      <c r="CT20" s="32">
        <v>95.919970512800901</v>
      </c>
      <c r="CU20" s="32">
        <v>0.81118467763451396</v>
      </c>
      <c r="CV20" s="32">
        <v>8.89237263601E-2</v>
      </c>
      <c r="CW20" s="32">
        <v>0.57798961034020602</v>
      </c>
      <c r="CX20" s="32">
        <v>122.99946006022699</v>
      </c>
      <c r="CY20" s="32">
        <v>-5.4279999999999902</v>
      </c>
      <c r="CZ20" s="32">
        <v>2699.37</v>
      </c>
      <c r="DA20" s="32">
        <v>2.367</v>
      </c>
      <c r="DB20" s="33">
        <v>4.3055210814958798E-11</v>
      </c>
      <c r="DC20" s="32">
        <v>1.2240397174581699E-4</v>
      </c>
      <c r="DD20" s="32">
        <v>27.556999999999999</v>
      </c>
      <c r="DE20" s="32">
        <v>7</v>
      </c>
      <c r="DF20" s="32">
        <v>192</v>
      </c>
      <c r="DG20" s="32">
        <v>200.2</v>
      </c>
      <c r="DH20" s="32">
        <v>211.599999999999</v>
      </c>
      <c r="DI20" s="32">
        <v>233.1</v>
      </c>
      <c r="DJ20" s="32">
        <v>25.664605344810202</v>
      </c>
      <c r="DK20" s="32">
        <v>0.669334841250534</v>
      </c>
      <c r="DL20" s="32">
        <v>0.177665407741358</v>
      </c>
      <c r="DM20" s="32">
        <v>0.72140548457869302</v>
      </c>
      <c r="DN20" s="32">
        <v>11.33</v>
      </c>
      <c r="DO20" s="32">
        <v>63.7439999999999</v>
      </c>
      <c r="DP20" s="32">
        <v>13.739999999999901</v>
      </c>
      <c r="DQ20" s="32">
        <v>35.619999999999997</v>
      </c>
      <c r="DR20" s="32">
        <v>-11.14</v>
      </c>
      <c r="DS20" s="32">
        <v>42.18</v>
      </c>
      <c r="DT20" s="32">
        <v>9.48</v>
      </c>
      <c r="DU20" s="32">
        <v>-4.4999999999999902</v>
      </c>
      <c r="DV20" s="32">
        <v>248.99999999999901</v>
      </c>
      <c r="DW20" s="32">
        <v>3.19999999999999</v>
      </c>
      <c r="DX20" s="32">
        <v>-8.3800000000000008</v>
      </c>
      <c r="DY20" s="32">
        <v>206.2</v>
      </c>
      <c r="DZ20" s="32">
        <v>-14.899999999999901</v>
      </c>
      <c r="EA20" s="32">
        <v>-60.899999999999899</v>
      </c>
      <c r="EB20" s="32">
        <v>1644.94</v>
      </c>
      <c r="EC20" s="32">
        <v>701.13</v>
      </c>
      <c r="ED20" s="32">
        <v>112.30999999999899</v>
      </c>
      <c r="EE20" s="32">
        <v>540.4</v>
      </c>
      <c r="EF20" s="32">
        <v>93.739999999999796</v>
      </c>
      <c r="EG20" s="32">
        <v>-75.38</v>
      </c>
      <c r="EH20" s="32">
        <v>-19.760000000000002</v>
      </c>
      <c r="EI20" s="32">
        <v>2.61</v>
      </c>
      <c r="EJ20" s="32">
        <v>-41.49</v>
      </c>
      <c r="EK20" s="32">
        <v>-605.71</v>
      </c>
      <c r="EL20" s="32">
        <v>595.88834546553005</v>
      </c>
      <c r="EM20" s="32">
        <v>266.40094439030702</v>
      </c>
      <c r="EN20" s="32">
        <v>0.30491357154842902</v>
      </c>
      <c r="EO20" s="32">
        <v>0.34184902520885702</v>
      </c>
      <c r="EP20" s="32">
        <v>0.28607102108383597</v>
      </c>
      <c r="EQ20" s="32">
        <v>1E-3</v>
      </c>
      <c r="ER20" s="32">
        <v>157.18173590370799</v>
      </c>
      <c r="ES20" s="32">
        <v>329.45594604766302</v>
      </c>
      <c r="ET20" s="32">
        <v>909.11476908725103</v>
      </c>
      <c r="EU20" s="32">
        <v>230.269585218179</v>
      </c>
      <c r="EV20" s="32">
        <v>261.43580286114297</v>
      </c>
      <c r="EW20" s="32">
        <v>784.15720301208898</v>
      </c>
      <c r="EX20" s="32">
        <v>16601</v>
      </c>
      <c r="EY20" s="32">
        <v>14.312292310000601</v>
      </c>
      <c r="EZ20" s="32">
        <v>8.8377590179443306</v>
      </c>
      <c r="FA20" s="32">
        <v>9.0962009429931605</v>
      </c>
      <c r="FB20" s="32">
        <v>6</v>
      </c>
      <c r="FC20" s="32">
        <v>0</v>
      </c>
      <c r="FD20" s="32">
        <v>0</v>
      </c>
      <c r="FE20" s="32">
        <v>18</v>
      </c>
      <c r="FF20" s="32">
        <v>1</v>
      </c>
      <c r="FG20" s="32">
        <v>0</v>
      </c>
      <c r="FH20" s="32">
        <v>8</v>
      </c>
      <c r="FI20" s="32">
        <v>3</v>
      </c>
      <c r="FJ20" s="32">
        <v>3</v>
      </c>
      <c r="FK20" s="32">
        <v>105</v>
      </c>
      <c r="FL20" s="32">
        <v>290</v>
      </c>
      <c r="FM20" s="32">
        <v>442</v>
      </c>
      <c r="FN20" s="32">
        <v>123.27</v>
      </c>
      <c r="FO20" s="32">
        <v>722.99999999999898</v>
      </c>
      <c r="FP20" s="32">
        <v>770.99999999999898</v>
      </c>
      <c r="FQ20" s="32">
        <v>1104.4000000000001</v>
      </c>
      <c r="FR20" s="32">
        <v>1493.47</v>
      </c>
      <c r="FS20" s="32">
        <v>14.7037129286101</v>
      </c>
      <c r="FT20" s="32">
        <v>94.709999999999894</v>
      </c>
      <c r="FU20" s="32">
        <v>11531</v>
      </c>
      <c r="FV20" s="32">
        <v>2129.9699999999898</v>
      </c>
      <c r="FW20" s="32">
        <v>10039</v>
      </c>
      <c r="FX20" s="33">
        <v>1.37997922377245E-13</v>
      </c>
      <c r="FY20" s="32">
        <v>411.68575908836198</v>
      </c>
      <c r="FZ20" s="32">
        <v>1170.8465496782401</v>
      </c>
      <c r="GA20" s="32">
        <v>2219.12985426467</v>
      </c>
      <c r="GB20" s="32">
        <v>658.43643562958505</v>
      </c>
      <c r="GC20" s="32">
        <v>1021.1691725921499</v>
      </c>
      <c r="GD20" s="32">
        <v>2075.9560655600199</v>
      </c>
      <c r="GE20" s="32">
        <v>127.75</v>
      </c>
      <c r="GF20" s="32">
        <v>232.672</v>
      </c>
      <c r="GG20" s="32">
        <v>160.56299999999999</v>
      </c>
      <c r="GH20" s="32">
        <v>346.24699999999899</v>
      </c>
      <c r="GI20" s="32">
        <v>3463.1869999999899</v>
      </c>
      <c r="GJ20" s="32">
        <v>3354.2489999999998</v>
      </c>
      <c r="GK20" s="32">
        <v>3192.8710000000001</v>
      </c>
      <c r="GL20" s="32">
        <v>220.32299999999901</v>
      </c>
      <c r="GM20" s="32">
        <v>168.958</v>
      </c>
      <c r="GN20" s="32">
        <v>614.27800000000002</v>
      </c>
      <c r="GO20" s="32">
        <v>-63.369999999999898</v>
      </c>
      <c r="GP20" s="32">
        <v>3198.2623799999901</v>
      </c>
      <c r="GQ20" s="32">
        <v>26401.226485881001</v>
      </c>
      <c r="GR20" s="32">
        <v>3.1534821705426199</v>
      </c>
      <c r="GS20" s="32">
        <v>-0.91130885887411095</v>
      </c>
      <c r="GT20" s="32">
        <v>23.738609741051398</v>
      </c>
      <c r="GU20" s="32">
        <v>10.9844178597848</v>
      </c>
      <c r="GV20" s="32">
        <v>10.6748717191231</v>
      </c>
    </row>
    <row r="21" spans="1:204" x14ac:dyDescent="0.25">
      <c r="A21" s="27" t="s">
        <v>214</v>
      </c>
      <c r="B21" s="28" t="s">
        <v>214</v>
      </c>
      <c r="C21" s="28">
        <v>0.17</v>
      </c>
      <c r="D21" s="28">
        <v>0.15</v>
      </c>
      <c r="E21" s="28">
        <v>0.08</v>
      </c>
      <c r="F21" s="28" t="s">
        <v>214</v>
      </c>
      <c r="G21" s="28">
        <v>0.81</v>
      </c>
      <c r="H21" s="28">
        <v>0.25</v>
      </c>
      <c r="I21" s="28">
        <v>0.03</v>
      </c>
      <c r="J21" s="29" t="s">
        <v>214</v>
      </c>
      <c r="K21" s="30">
        <v>0.17</v>
      </c>
      <c r="L21" s="30">
        <v>0.15</v>
      </c>
      <c r="M21" s="30">
        <v>0.12</v>
      </c>
      <c r="N21" s="41" t="s">
        <v>214</v>
      </c>
      <c r="O21" s="30">
        <v>0.81</v>
      </c>
      <c r="P21" s="30">
        <v>0.76</v>
      </c>
      <c r="Q21" s="30">
        <v>0.4</v>
      </c>
      <c r="R21" s="29"/>
      <c r="S21" s="31"/>
      <c r="T21" s="31"/>
      <c r="U21" s="31"/>
      <c r="V21" s="29" t="s">
        <v>214</v>
      </c>
      <c r="W21" s="31">
        <v>0.81</v>
      </c>
      <c r="X21" s="31">
        <v>0.17</v>
      </c>
      <c r="Y21" s="31">
        <v>0.14000000000000001</v>
      </c>
      <c r="Z21" s="29" t="s">
        <v>214</v>
      </c>
      <c r="AA21" s="29">
        <v>0.82</v>
      </c>
      <c r="AB21" s="29">
        <v>0.68</v>
      </c>
      <c r="AC21" s="29">
        <v>0.6</v>
      </c>
      <c r="AD21" s="28" t="s">
        <v>214</v>
      </c>
      <c r="AE21" s="28">
        <v>0.28000000000000003</v>
      </c>
      <c r="AF21" s="28">
        <v>0.27</v>
      </c>
      <c r="AG21" s="28">
        <v>0.21</v>
      </c>
      <c r="AH21" s="28" t="s">
        <v>214</v>
      </c>
      <c r="AI21" s="28">
        <v>0.81</v>
      </c>
      <c r="AJ21" s="28">
        <v>0.73</v>
      </c>
      <c r="AK21" s="28">
        <v>0.69</v>
      </c>
      <c r="AL21" s="32" t="s">
        <v>214</v>
      </c>
      <c r="AM21" s="32">
        <v>3</v>
      </c>
      <c r="AN21" s="32">
        <v>-3.87454545454545E-2</v>
      </c>
      <c r="AO21" s="32">
        <v>620.1</v>
      </c>
      <c r="AP21" s="32">
        <v>616.31999999999903</v>
      </c>
      <c r="AQ21" s="32">
        <v>110.244999999999</v>
      </c>
      <c r="AR21" s="32">
        <v>13.597315345311401</v>
      </c>
      <c r="AS21" s="32">
        <v>-4.62</v>
      </c>
      <c r="AT21" s="32">
        <v>15.399199999999899</v>
      </c>
      <c r="AU21" s="32">
        <v>1.36809331990306E-2</v>
      </c>
      <c r="AV21" s="32">
        <v>-238.65171428571401</v>
      </c>
      <c r="AW21" s="32">
        <v>268.517050791641</v>
      </c>
      <c r="AX21" s="32">
        <v>3.0000000000004698</v>
      </c>
      <c r="AY21" s="32">
        <v>2.42433138194087E-3</v>
      </c>
      <c r="AZ21" s="32">
        <v>3.5538015282347298E-2</v>
      </c>
      <c r="BA21" s="32">
        <v>3.1455734795563697E-2</v>
      </c>
      <c r="BB21" s="32">
        <v>0.50319097702064597</v>
      </c>
      <c r="BC21" s="32">
        <v>239.11695249138</v>
      </c>
      <c r="BD21" s="32">
        <v>262.77094405934997</v>
      </c>
      <c r="BE21" s="32">
        <v>152.40713738496399</v>
      </c>
      <c r="BF21" s="32">
        <v>55.087557597053703</v>
      </c>
      <c r="BG21" s="32">
        <v>0.49680902297935298</v>
      </c>
      <c r="BH21" s="32">
        <v>0.46736300877368703</v>
      </c>
      <c r="BI21" s="32">
        <v>1043.6687881365399</v>
      </c>
      <c r="BJ21" s="32">
        <v>661.28335091149302</v>
      </c>
      <c r="BK21" s="32">
        <v>472.93514986178701</v>
      </c>
      <c r="BL21" s="32">
        <v>4.0754681998759999E-2</v>
      </c>
      <c r="BM21" s="32">
        <v>0.48952356305078698</v>
      </c>
      <c r="BN21" s="32">
        <v>1680.0380680251001</v>
      </c>
      <c r="BO21" s="32">
        <v>1240.22877455603</v>
      </c>
      <c r="BP21" s="32">
        <v>1170.59649279057</v>
      </c>
      <c r="BQ21" s="32">
        <v>8.9438830843015099E-2</v>
      </c>
      <c r="BR21" s="32">
        <v>0.50772606389749497</v>
      </c>
      <c r="BS21" s="32">
        <v>5695.5910000000003</v>
      </c>
      <c r="BT21" s="32">
        <v>10.062498563867299</v>
      </c>
      <c r="BU21" s="32">
        <v>-51.374308822315697</v>
      </c>
      <c r="BV21" s="32">
        <v>18.153730296277899</v>
      </c>
      <c r="BW21" s="32">
        <v>104.33999999999899</v>
      </c>
      <c r="BX21" s="32">
        <v>105.202</v>
      </c>
      <c r="BY21" s="32">
        <v>104.909999999999</v>
      </c>
      <c r="BZ21" s="32">
        <v>110.45</v>
      </c>
      <c r="CA21" s="32">
        <v>0.75028518061736504</v>
      </c>
      <c r="CB21" s="32">
        <v>-238.65171428571401</v>
      </c>
      <c r="CC21" s="32">
        <v>49.23</v>
      </c>
      <c r="CD21" s="32">
        <v>13349.4</v>
      </c>
      <c r="CE21" s="32">
        <v>0.50039766802501395</v>
      </c>
      <c r="CF21" s="32">
        <v>1.25000536970721</v>
      </c>
      <c r="CG21" s="32">
        <v>1.0481954535598099</v>
      </c>
      <c r="CH21" s="32">
        <v>75.0177482687956</v>
      </c>
      <c r="CI21" s="32">
        <v>97.491582138220906</v>
      </c>
      <c r="CJ21" s="32">
        <v>180.08998743718499</v>
      </c>
      <c r="CK21" s="32">
        <v>111.789999999999</v>
      </c>
      <c r="CL21" s="32">
        <v>109.994</v>
      </c>
      <c r="CM21" s="32">
        <v>109.409999999999</v>
      </c>
      <c r="CN21" s="32">
        <v>114.23</v>
      </c>
      <c r="CO21" s="32">
        <v>108.364</v>
      </c>
      <c r="CP21" s="32">
        <v>114.19999999999899</v>
      </c>
      <c r="CQ21" s="32">
        <v>1637.77</v>
      </c>
      <c r="CR21" s="32">
        <v>114.04300000000001</v>
      </c>
      <c r="CS21" s="32">
        <v>1</v>
      </c>
      <c r="CT21" s="32">
        <v>95.919970512800901</v>
      </c>
      <c r="CU21" s="32">
        <v>0.95169092877779804</v>
      </c>
      <c r="CV21" s="32">
        <v>0.30705760978789998</v>
      </c>
      <c r="CW21" s="33">
        <v>1.87987617201891E-5</v>
      </c>
      <c r="CX21" s="32">
        <v>268.517050791641</v>
      </c>
      <c r="CY21" s="32">
        <v>-1.0329999999999999</v>
      </c>
      <c r="CZ21" s="32">
        <v>2284.52</v>
      </c>
      <c r="DA21" s="32">
        <v>9.1049999999999898</v>
      </c>
      <c r="DB21" s="33">
        <v>3.8701354176535903E-11</v>
      </c>
      <c r="DC21" s="33">
        <v>5.2367525135751597E-5</v>
      </c>
      <c r="DD21" s="32">
        <v>13.808</v>
      </c>
      <c r="DE21" s="32">
        <v>3</v>
      </c>
      <c r="DF21" s="32">
        <v>242.4</v>
      </c>
      <c r="DG21" s="32">
        <v>234.3</v>
      </c>
      <c r="DH21" s="32">
        <v>241.69999999999899</v>
      </c>
      <c r="DI21" s="32">
        <v>236</v>
      </c>
      <c r="DJ21" s="32">
        <v>23.0693326649657</v>
      </c>
      <c r="DK21" s="32">
        <v>0.827167523719888</v>
      </c>
      <c r="DL21" s="33">
        <v>8.1734940895484599E-5</v>
      </c>
      <c r="DM21" s="32">
        <v>0.56195540839332303</v>
      </c>
      <c r="DN21" s="32">
        <v>32.22</v>
      </c>
      <c r="DO21" s="32">
        <v>57.837999999999901</v>
      </c>
      <c r="DP21" s="32">
        <v>0.630000000000001</v>
      </c>
      <c r="DQ21" s="32">
        <v>30.95</v>
      </c>
      <c r="DR21" s="32">
        <v>2.00000000000017E-2</v>
      </c>
      <c r="DS21" s="32">
        <v>42.129999999999903</v>
      </c>
      <c r="DT21" s="32">
        <v>7.85</v>
      </c>
      <c r="DU21" s="32">
        <v>-2.2999999999999998</v>
      </c>
      <c r="DV21" s="32">
        <v>197.29999999999899</v>
      </c>
      <c r="DW21" s="32">
        <v>16.32</v>
      </c>
      <c r="DX21" s="32">
        <v>2.99</v>
      </c>
      <c r="DY21" s="32">
        <v>173.2</v>
      </c>
      <c r="DZ21" s="32">
        <v>-13.5999999999999</v>
      </c>
      <c r="EA21" s="32">
        <v>-34.200000000000003</v>
      </c>
      <c r="EB21" s="32">
        <v>1404.15</v>
      </c>
      <c r="EC21" s="32">
        <v>593.29999999999995</v>
      </c>
      <c r="ED21" s="32">
        <v>95.739999999999895</v>
      </c>
      <c r="EE21" s="32">
        <v>503.5</v>
      </c>
      <c r="EF21" s="32">
        <v>79.589999999999904</v>
      </c>
      <c r="EG21" s="32">
        <v>-46.31</v>
      </c>
      <c r="EH21" s="32">
        <v>-11.21</v>
      </c>
      <c r="EI21" s="32">
        <v>16.139999999999901</v>
      </c>
      <c r="EJ21" s="32">
        <v>-32.17</v>
      </c>
      <c r="EK21" s="32">
        <v>-434.59</v>
      </c>
      <c r="EL21" s="32">
        <v>239.11695249138</v>
      </c>
      <c r="EM21" s="32">
        <v>92.694671201309404</v>
      </c>
      <c r="EN21" s="32">
        <v>0.25750226018588501</v>
      </c>
      <c r="EO21" s="32">
        <v>0.21095211201169001</v>
      </c>
      <c r="EP21" s="32">
        <v>0.19549192431050899</v>
      </c>
      <c r="EQ21" s="32">
        <v>1E-3</v>
      </c>
      <c r="ER21" s="32">
        <v>73.577254219272604</v>
      </c>
      <c r="ES21" s="32">
        <v>381.70638465512798</v>
      </c>
      <c r="ET21" s="32">
        <v>824.79161211875805</v>
      </c>
      <c r="EU21" s="32">
        <v>111.004920661678</v>
      </c>
      <c r="EV21" s="32">
        <v>279.35550514732699</v>
      </c>
      <c r="EW21" s="32">
        <v>792.80459938483</v>
      </c>
      <c r="EX21" s="32">
        <v>13976</v>
      </c>
      <c r="EY21" s="32">
        <v>12.010843310000499</v>
      </c>
      <c r="EZ21" s="32">
        <v>4.8248019218444798</v>
      </c>
      <c r="FA21" s="32">
        <v>4.5745553970336896</v>
      </c>
      <c r="FB21" s="32">
        <v>7</v>
      </c>
      <c r="FC21" s="32">
        <v>0</v>
      </c>
      <c r="FD21" s="32">
        <v>0</v>
      </c>
      <c r="FE21" s="32">
        <v>9</v>
      </c>
      <c r="FF21" s="32">
        <v>1</v>
      </c>
      <c r="FG21" s="32">
        <v>0</v>
      </c>
      <c r="FH21" s="32">
        <v>9</v>
      </c>
      <c r="FI21" s="32">
        <v>2</v>
      </c>
      <c r="FJ21" s="32">
        <v>1</v>
      </c>
      <c r="FK21" s="32">
        <v>80</v>
      </c>
      <c r="FL21" s="32">
        <v>434</v>
      </c>
      <c r="FM21" s="32">
        <v>380</v>
      </c>
      <c r="FN21" s="32">
        <v>111.26</v>
      </c>
      <c r="FO21" s="32">
        <v>621.29999999999905</v>
      </c>
      <c r="FP21" s="32">
        <v>661.29999999999905</v>
      </c>
      <c r="FQ21" s="32">
        <v>927.8</v>
      </c>
      <c r="FR21" s="32">
        <v>1301.42</v>
      </c>
      <c r="FS21" s="32">
        <v>13.675413544759399</v>
      </c>
      <c r="FT21" s="32">
        <v>67.040000000000006</v>
      </c>
      <c r="FU21" s="32">
        <v>9733</v>
      </c>
      <c r="FV21" s="32">
        <v>1706.5999999999899</v>
      </c>
      <c r="FW21" s="32">
        <v>8406</v>
      </c>
      <c r="FX21" s="33">
        <v>1.28835756035615E-13</v>
      </c>
      <c r="FY21" s="32">
        <v>262.77094405934997</v>
      </c>
      <c r="FZ21" s="32">
        <v>1096.7850105662501</v>
      </c>
      <c r="GA21" s="32">
        <v>1698.9255545696999</v>
      </c>
      <c r="GB21" s="32">
        <v>525.124237881569</v>
      </c>
      <c r="GC21" s="32">
        <v>877.42423924398804</v>
      </c>
      <c r="GD21" s="32">
        <v>1620.80988693466</v>
      </c>
      <c r="GE21" s="32">
        <v>110.51</v>
      </c>
      <c r="GF21" s="32">
        <v>202.41</v>
      </c>
      <c r="GG21" s="32">
        <v>77.920999999999907</v>
      </c>
      <c r="GH21" s="32">
        <v>179.15899999999999</v>
      </c>
      <c r="GI21" s="32">
        <v>2865.97</v>
      </c>
      <c r="GJ21" s="32">
        <v>2777.2330000000002</v>
      </c>
      <c r="GK21" s="32">
        <v>2829.6210000000001</v>
      </c>
      <c r="GL21" s="32">
        <v>170.61099999999999</v>
      </c>
      <c r="GM21" s="32">
        <v>232.12200000000001</v>
      </c>
      <c r="GN21" s="32">
        <v>509.40699999999902</v>
      </c>
      <c r="GO21" s="32">
        <v>-55.31</v>
      </c>
      <c r="GP21" s="32">
        <v>2716.17558333333</v>
      </c>
      <c r="GQ21" s="32">
        <v>22727.799054774299</v>
      </c>
      <c r="GR21" s="32">
        <v>3.5636809090908699</v>
      </c>
      <c r="GS21" s="32">
        <v>-0.44097001207921899</v>
      </c>
      <c r="GT21" s="32">
        <v>10.15753899573</v>
      </c>
      <c r="GU21" s="32">
        <v>10.0299871040488</v>
      </c>
      <c r="GV21" s="32">
        <v>9.7446034944732407</v>
      </c>
    </row>
    <row r="22" spans="1:204" x14ac:dyDescent="0.25">
      <c r="A22" s="27" t="s">
        <v>215</v>
      </c>
      <c r="B22" s="28"/>
      <c r="C22" s="34"/>
      <c r="D22" s="34"/>
      <c r="E22" s="34"/>
      <c r="F22" s="28"/>
      <c r="G22" s="34"/>
      <c r="H22" s="34"/>
      <c r="I22" s="34"/>
      <c r="J22" s="29"/>
      <c r="K22" s="30"/>
      <c r="L22" s="30"/>
      <c r="M22" s="30"/>
      <c r="N22" s="41"/>
      <c r="O22" s="30"/>
      <c r="P22" s="30"/>
      <c r="Q22" s="30"/>
      <c r="R22" s="29" t="s">
        <v>215</v>
      </c>
      <c r="S22" s="31">
        <v>0.44</v>
      </c>
      <c r="T22" s="31">
        <v>0.15</v>
      </c>
      <c r="U22" s="31">
        <v>0.12</v>
      </c>
      <c r="V22" s="35"/>
      <c r="W22" s="29"/>
      <c r="X22" s="29"/>
      <c r="Y22" s="29"/>
      <c r="Z22" s="29"/>
      <c r="AA22" s="29"/>
      <c r="AB22" s="29"/>
      <c r="AC22" s="29"/>
      <c r="AD22" s="28"/>
      <c r="AE22" s="36"/>
      <c r="AF22" s="36"/>
      <c r="AG22" s="36"/>
      <c r="AH22" s="28"/>
      <c r="AI22" s="36"/>
      <c r="AJ22" s="36"/>
      <c r="AK22" s="36"/>
      <c r="AL22" s="32" t="s">
        <v>215</v>
      </c>
      <c r="AM22" s="32">
        <v>12</v>
      </c>
      <c r="AN22" s="32">
        <v>8.7543103448275802E-2</v>
      </c>
      <c r="AO22" s="32">
        <v>1374.2</v>
      </c>
      <c r="AP22" s="32">
        <v>1374.0699999999899</v>
      </c>
      <c r="AQ22" s="32">
        <v>232.27599999999899</v>
      </c>
      <c r="AR22" s="32">
        <v>91.762896702539194</v>
      </c>
      <c r="AS22" s="32">
        <v>20.2136</v>
      </c>
      <c r="AT22" s="32">
        <v>55.9421999999999</v>
      </c>
      <c r="AU22" s="32">
        <v>1.00555012744157E-2</v>
      </c>
      <c r="AV22" s="32">
        <v>-448.70171428571399</v>
      </c>
      <c r="AW22" s="32">
        <v>315.802631773646</v>
      </c>
      <c r="AX22" s="32">
        <v>-2.9999999999983702</v>
      </c>
      <c r="AY22" s="32">
        <v>5.2977159381924696E-3</v>
      </c>
      <c r="AZ22" s="32">
        <v>2.8311854311550599E-2</v>
      </c>
      <c r="BA22" s="32">
        <v>3.7793124459955897E-2</v>
      </c>
      <c r="BB22" s="32">
        <v>0.44649930364891999</v>
      </c>
      <c r="BC22" s="32">
        <v>1035.56060545324</v>
      </c>
      <c r="BD22" s="32">
        <v>753.40074937240104</v>
      </c>
      <c r="BE22" s="32">
        <v>492.10796506540299</v>
      </c>
      <c r="BF22" s="32">
        <v>316.41788839606198</v>
      </c>
      <c r="BG22" s="32">
        <v>0.55350069635108001</v>
      </c>
      <c r="BH22" s="32">
        <v>4.0525950390583301</v>
      </c>
      <c r="BI22" s="32">
        <v>2510.58381157654</v>
      </c>
      <c r="BJ22" s="32">
        <v>1498.6310948498999</v>
      </c>
      <c r="BK22" s="32">
        <v>1221.4754407651601</v>
      </c>
      <c r="BL22" s="32">
        <v>3.8758986863403698E-2</v>
      </c>
      <c r="BM22" s="32">
        <v>0.44012556009477</v>
      </c>
      <c r="BN22" s="32">
        <v>1941.6402123155699</v>
      </c>
      <c r="BO22" s="32">
        <v>1117.40948316965</v>
      </c>
      <c r="BP22" s="32">
        <v>965.60031523302598</v>
      </c>
      <c r="BQ22" s="32">
        <v>4.8177507229592E-2</v>
      </c>
      <c r="BR22" s="32">
        <v>0.55838045031543804</v>
      </c>
      <c r="BS22" s="32">
        <v>9912.3849999999893</v>
      </c>
      <c r="BT22" s="32">
        <v>-10.1241459554739</v>
      </c>
      <c r="BU22" s="32">
        <v>-68.521646607360594</v>
      </c>
      <c r="BV22" s="32">
        <v>27.030501549732399</v>
      </c>
      <c r="BW22" s="32">
        <v>222.47</v>
      </c>
      <c r="BX22" s="32">
        <v>220.03599999999901</v>
      </c>
      <c r="BY22" s="32">
        <v>221.35999999999899</v>
      </c>
      <c r="BZ22" s="32">
        <v>235.06</v>
      </c>
      <c r="CA22" s="32">
        <v>-0.95651834298840399</v>
      </c>
      <c r="CB22" s="32">
        <v>-448.70171428571399</v>
      </c>
      <c r="CC22" s="32">
        <v>103.67</v>
      </c>
      <c r="CD22" s="32">
        <v>27750.0999999999</v>
      </c>
      <c r="CE22" s="32">
        <v>0.59195915897904305</v>
      </c>
      <c r="CF22" s="32">
        <v>1.19929480571763</v>
      </c>
      <c r="CG22" s="32">
        <v>0.98357737212764795</v>
      </c>
      <c r="CH22" s="32">
        <v>108.257687988192</v>
      </c>
      <c r="CI22" s="32">
        <v>100.866661151949</v>
      </c>
      <c r="CJ22" s="32">
        <v>111.00704301128999</v>
      </c>
      <c r="CK22" s="32">
        <v>241.469999999999</v>
      </c>
      <c r="CL22" s="32">
        <v>248.334</v>
      </c>
      <c r="CM22" s="32">
        <v>241.82999999999899</v>
      </c>
      <c r="CN22" s="32">
        <v>235.89</v>
      </c>
      <c r="CO22" s="32">
        <v>228.863</v>
      </c>
      <c r="CP22" s="32">
        <v>234.74999999999901</v>
      </c>
      <c r="CQ22" s="32">
        <v>3429.82</v>
      </c>
      <c r="CR22" s="32">
        <v>235.92399999999901</v>
      </c>
      <c r="CS22" s="32">
        <v>1</v>
      </c>
      <c r="CT22" s="32">
        <v>95.919970512800901</v>
      </c>
      <c r="CU22" s="32">
        <v>0.90058664063101002</v>
      </c>
      <c r="CV22" s="32">
        <v>9.7316291550435599E-2</v>
      </c>
      <c r="CW22" s="32">
        <v>0.423642823751118</v>
      </c>
      <c r="CX22" s="32">
        <v>315.802631773646</v>
      </c>
      <c r="CY22" s="32">
        <v>-5.1969999999999903</v>
      </c>
      <c r="CZ22" s="32">
        <v>4821.4699999999903</v>
      </c>
      <c r="DA22" s="32">
        <v>12.8219999999999</v>
      </c>
      <c r="DB22" s="33">
        <v>5.2772253753717097E-11</v>
      </c>
      <c r="DC22" s="33">
        <v>-5.2713264081759202E-5</v>
      </c>
      <c r="DD22" s="32">
        <v>52.512999999999998</v>
      </c>
      <c r="DE22" s="32">
        <v>-3</v>
      </c>
      <c r="DF22" s="32">
        <v>502.9</v>
      </c>
      <c r="DG22" s="32">
        <v>573.9</v>
      </c>
      <c r="DH22" s="32">
        <v>546.20000000000005</v>
      </c>
      <c r="DI22" s="32">
        <v>552.6</v>
      </c>
      <c r="DJ22" s="32">
        <v>31.4567979138723</v>
      </c>
      <c r="DK22" s="32">
        <v>0.89737028222016402</v>
      </c>
      <c r="DL22" s="32">
        <v>0.25357980594912199</v>
      </c>
      <c r="DM22" s="32">
        <v>0.36114243533944801</v>
      </c>
      <c r="DN22" s="32">
        <v>85.289999999999793</v>
      </c>
      <c r="DO22" s="32">
        <v>124.15600000000001</v>
      </c>
      <c r="DP22" s="32">
        <v>-11.8599999999999</v>
      </c>
      <c r="DQ22" s="32">
        <v>70.459999999999894</v>
      </c>
      <c r="DR22" s="32">
        <v>33.32</v>
      </c>
      <c r="DS22" s="32">
        <v>93.129999999999896</v>
      </c>
      <c r="DT22" s="32">
        <v>-17.5199999999999</v>
      </c>
      <c r="DU22" s="32">
        <v>-39.299999999999898</v>
      </c>
      <c r="DV22" s="32">
        <v>382.3</v>
      </c>
      <c r="DW22" s="32">
        <v>42.959999999999901</v>
      </c>
      <c r="DX22" s="32">
        <v>13.25</v>
      </c>
      <c r="DY22" s="32">
        <v>376.99999999999898</v>
      </c>
      <c r="DZ22" s="32">
        <v>-10.899999999999901</v>
      </c>
      <c r="EA22" s="32">
        <v>1.5999999999999901</v>
      </c>
      <c r="EB22" s="32">
        <v>2972.32</v>
      </c>
      <c r="EC22" s="32">
        <v>1273.7</v>
      </c>
      <c r="ED22" s="32">
        <v>218.06</v>
      </c>
      <c r="EE22" s="32">
        <v>1136.2</v>
      </c>
      <c r="EF22" s="32">
        <v>168.94999999999899</v>
      </c>
      <c r="EG22" s="32">
        <v>-75.67</v>
      </c>
      <c r="EH22" s="32">
        <v>-8.08</v>
      </c>
      <c r="EI22" s="32">
        <v>70.639999999999901</v>
      </c>
      <c r="EJ22" s="32">
        <v>-89.669999999999902</v>
      </c>
      <c r="EK22" s="32">
        <v>-784.02999999999895</v>
      </c>
      <c r="EL22" s="32">
        <v>1035.56060545324</v>
      </c>
      <c r="EM22" s="32">
        <v>529.16902834711095</v>
      </c>
      <c r="EN22" s="32">
        <v>0.57255983490448903</v>
      </c>
      <c r="EO22" s="32">
        <v>0.89034920235377402</v>
      </c>
      <c r="EP22" s="32">
        <v>0.83911182937392603</v>
      </c>
      <c r="EQ22" s="32">
        <v>1E-3</v>
      </c>
      <c r="ER22" s="32">
        <v>106.989585513989</v>
      </c>
      <c r="ES22" s="32">
        <v>926.45775137870305</v>
      </c>
      <c r="ET22" s="32">
        <v>536.81547886001397</v>
      </c>
      <c r="EU22" s="32">
        <v>182.485250174051</v>
      </c>
      <c r="EV22" s="32">
        <v>739.48547916756195</v>
      </c>
      <c r="EW22" s="32">
        <v>573.70095492809605</v>
      </c>
      <c r="EX22" s="32">
        <v>28824</v>
      </c>
      <c r="EY22" s="32">
        <v>24.669707879997699</v>
      </c>
      <c r="EZ22" s="32">
        <v>-4.4857692718505797</v>
      </c>
      <c r="FA22" s="32">
        <v>-1.26515889167785</v>
      </c>
      <c r="FB22" s="32">
        <v>12</v>
      </c>
      <c r="FC22" s="32">
        <v>0</v>
      </c>
      <c r="FD22" s="32">
        <v>0</v>
      </c>
      <c r="FE22" s="32">
        <v>21</v>
      </c>
      <c r="FF22" s="32">
        <v>2</v>
      </c>
      <c r="FG22" s="32">
        <v>1</v>
      </c>
      <c r="FH22" s="32">
        <v>18</v>
      </c>
      <c r="FI22" s="32">
        <v>2</v>
      </c>
      <c r="FJ22" s="32">
        <v>1</v>
      </c>
      <c r="FK22" s="32">
        <v>163</v>
      </c>
      <c r="FL22" s="32">
        <v>1120</v>
      </c>
      <c r="FM22" s="32">
        <v>833</v>
      </c>
      <c r="FN22" s="32">
        <v>253.909999999999</v>
      </c>
      <c r="FO22" s="32">
        <v>1391.1</v>
      </c>
      <c r="FP22" s="32">
        <v>1582.9</v>
      </c>
      <c r="FQ22" s="32">
        <v>1959.1</v>
      </c>
      <c r="FR22" s="32">
        <v>2249.33</v>
      </c>
      <c r="FS22" s="32">
        <v>17.320066025920401</v>
      </c>
      <c r="FT22" s="32">
        <v>136.229999999999</v>
      </c>
      <c r="FU22" s="32">
        <v>20663</v>
      </c>
      <c r="FV22" s="32">
        <v>3218.88</v>
      </c>
      <c r="FW22" s="32">
        <v>19273</v>
      </c>
      <c r="FX22" s="33">
        <v>1.9406509773314801E-13</v>
      </c>
      <c r="FY22" s="32">
        <v>769.00955921407501</v>
      </c>
      <c r="FZ22" s="32">
        <v>2540.3461185818801</v>
      </c>
      <c r="GA22" s="32">
        <v>1965.3122817486999</v>
      </c>
      <c r="GB22" s="32">
        <v>1299.09225585831</v>
      </c>
      <c r="GC22" s="32">
        <v>2118.1998841909299</v>
      </c>
      <c r="GD22" s="32">
        <v>1998.1267742032201</v>
      </c>
      <c r="GE22" s="32">
        <v>239.46</v>
      </c>
      <c r="GF22" s="32">
        <v>280.63799999999901</v>
      </c>
      <c r="GG22" s="32">
        <v>99.674000000000007</v>
      </c>
      <c r="GH22" s="32">
        <v>374.61999999999898</v>
      </c>
      <c r="GI22" s="32">
        <v>4425.8729999999996</v>
      </c>
      <c r="GJ22" s="32">
        <v>4242.2669999999998</v>
      </c>
      <c r="GK22" s="32">
        <v>5486.5119999999997</v>
      </c>
      <c r="GL22" s="32">
        <v>362.933999999999</v>
      </c>
      <c r="GM22" s="32">
        <v>384.19400000000002</v>
      </c>
      <c r="GN22" s="32">
        <v>477.55399999999997</v>
      </c>
      <c r="GO22" s="32">
        <v>-63.2899999999999</v>
      </c>
      <c r="GP22" s="32">
        <v>4663.4247999999898</v>
      </c>
      <c r="GQ22" s="32">
        <v>47064.949787169899</v>
      </c>
      <c r="GR22" s="32">
        <v>11.013652155172201</v>
      </c>
      <c r="GS22" s="32">
        <v>1.53028408925286</v>
      </c>
      <c r="GT22" s="32">
        <v>-10.218670967988199</v>
      </c>
      <c r="GU22" s="32">
        <v>5.3955889259787302</v>
      </c>
      <c r="GV22" s="32">
        <v>4.5965626824377104</v>
      </c>
    </row>
    <row r="23" spans="1:204" x14ac:dyDescent="0.25">
      <c r="A23" s="27" t="s">
        <v>216</v>
      </c>
      <c r="B23" s="28" t="s">
        <v>216</v>
      </c>
      <c r="C23" s="28">
        <v>7.0000000000000007E-2</v>
      </c>
      <c r="D23" s="28">
        <v>0.02</v>
      </c>
      <c r="E23" s="28">
        <v>0.02</v>
      </c>
      <c r="F23" s="28" t="s">
        <v>216</v>
      </c>
      <c r="G23" s="28">
        <v>0.56000000000000005</v>
      </c>
      <c r="H23" s="28">
        <v>0.26</v>
      </c>
      <c r="I23" s="28">
        <v>0.12</v>
      </c>
      <c r="J23" s="29" t="s">
        <v>216</v>
      </c>
      <c r="K23" s="30">
        <v>7.0000000000000007E-2</v>
      </c>
      <c r="L23" s="30">
        <v>0.02</v>
      </c>
      <c r="M23" s="30">
        <v>0.02</v>
      </c>
      <c r="N23" s="41" t="s">
        <v>216</v>
      </c>
      <c r="O23" s="30">
        <v>0.56999999999999995</v>
      </c>
      <c r="P23" s="30">
        <v>0.42</v>
      </c>
      <c r="Q23" s="30">
        <v>0.33</v>
      </c>
      <c r="R23" s="29" t="s">
        <v>216</v>
      </c>
      <c r="S23" s="31">
        <v>2</v>
      </c>
      <c r="T23" s="31">
        <v>0.19</v>
      </c>
      <c r="U23" s="31">
        <v>0.25</v>
      </c>
      <c r="V23" s="29" t="s">
        <v>216</v>
      </c>
      <c r="W23" s="31">
        <v>0.56999999999999995</v>
      </c>
      <c r="X23" s="31">
        <v>7.0000000000000007E-2</v>
      </c>
      <c r="Y23" s="31">
        <v>0.05</v>
      </c>
      <c r="Z23" s="29" t="s">
        <v>216</v>
      </c>
      <c r="AA23" s="29">
        <v>0.56999999999999995</v>
      </c>
      <c r="AB23" s="29">
        <v>0.46</v>
      </c>
      <c r="AC23" s="29">
        <v>0.39</v>
      </c>
      <c r="AD23" s="28" t="s">
        <v>216</v>
      </c>
      <c r="AE23" s="28">
        <v>7.0000000000000007E-2</v>
      </c>
      <c r="AF23" s="28">
        <v>0.02</v>
      </c>
      <c r="AG23" s="28">
        <v>0.02</v>
      </c>
      <c r="AH23" s="28" t="s">
        <v>216</v>
      </c>
      <c r="AI23" s="28">
        <v>0.56999999999999995</v>
      </c>
      <c r="AJ23" s="28">
        <v>0.22</v>
      </c>
      <c r="AK23" s="28">
        <v>0.03</v>
      </c>
      <c r="AL23" s="32" t="s">
        <v>216</v>
      </c>
      <c r="AM23" s="32">
        <v>13</v>
      </c>
      <c r="AN23" s="32">
        <v>-7.8533772652388395E-2</v>
      </c>
      <c r="AO23" s="32">
        <v>3436.5999999999899</v>
      </c>
      <c r="AP23" s="32">
        <v>3497.74999999999</v>
      </c>
      <c r="AQ23" s="32">
        <v>576.25900000000104</v>
      </c>
      <c r="AR23" s="32">
        <v>717.26712258281896</v>
      </c>
      <c r="AS23" s="32">
        <v>-48.981000000000002</v>
      </c>
      <c r="AT23" s="32">
        <v>104.716599999999</v>
      </c>
      <c r="AU23" s="32">
        <v>3.7128332411864598E-2</v>
      </c>
      <c r="AV23" s="32">
        <v>-430.96857142857101</v>
      </c>
      <c r="AW23" s="32">
        <v>536.54140272140398</v>
      </c>
      <c r="AX23" s="32">
        <v>-3.0000000000290301</v>
      </c>
      <c r="AY23" s="32">
        <v>1.0278792313469599E-2</v>
      </c>
      <c r="AZ23" s="32">
        <v>2.49514770051526E-2</v>
      </c>
      <c r="BA23" s="32">
        <v>4.2741994981743303E-2</v>
      </c>
      <c r="BB23" s="32">
        <v>0.42264091234967099</v>
      </c>
      <c r="BC23" s="32">
        <v>1770.4641859441299</v>
      </c>
      <c r="BD23" s="32">
        <v>3315.0611979762398</v>
      </c>
      <c r="BE23" s="32">
        <v>1850.0606919721099</v>
      </c>
      <c r="BF23" s="32">
        <v>1221.2107437161001</v>
      </c>
      <c r="BG23" s="32">
        <v>0.57735908765033395</v>
      </c>
      <c r="BH23" s="32">
        <v>10.882831104628901</v>
      </c>
      <c r="BI23" s="32">
        <v>8652.6717183849305</v>
      </c>
      <c r="BJ23" s="32">
        <v>6910.0685726777901</v>
      </c>
      <c r="BK23" s="32">
        <v>6199.6021510590099</v>
      </c>
      <c r="BL23" s="32">
        <v>6.1643495621252598E-2</v>
      </c>
      <c r="BM23" s="32">
        <v>0.421747571240289</v>
      </c>
      <c r="BN23" s="32">
        <v>8096.68007060937</v>
      </c>
      <c r="BO23" s="32">
        <v>6549.75374711325</v>
      </c>
      <c r="BP23" s="32">
        <v>5882.6382484441401</v>
      </c>
      <c r="BQ23" s="32">
        <v>8.6469195358297501E-2</v>
      </c>
      <c r="BR23" s="32">
        <v>0.57825242875971405</v>
      </c>
      <c r="BS23" s="32">
        <v>30076.976999999701</v>
      </c>
      <c r="BT23" s="32">
        <v>-10.337076715323899</v>
      </c>
      <c r="BU23" s="32">
        <v>-245.87039566585</v>
      </c>
      <c r="BV23" s="32">
        <v>34.596580609953698</v>
      </c>
      <c r="BW23" s="32">
        <v>616.70999999999901</v>
      </c>
      <c r="BX23" s="32">
        <v>623.56700000000001</v>
      </c>
      <c r="BY23" s="32">
        <v>616.98000000000195</v>
      </c>
      <c r="BZ23" s="32">
        <v>566.01</v>
      </c>
      <c r="CA23" s="32">
        <v>-1.5217155501728099</v>
      </c>
      <c r="CB23" s="32">
        <v>-430.96857142857101</v>
      </c>
      <c r="CC23" s="32">
        <v>252.04999999999899</v>
      </c>
      <c r="CD23" s="32">
        <v>72883.099999999904</v>
      </c>
      <c r="CE23" s="32">
        <v>0.56024910395182004</v>
      </c>
      <c r="CF23" s="32">
        <v>1.34651920762037</v>
      </c>
      <c r="CG23" s="32">
        <v>1.0902122784960899</v>
      </c>
      <c r="CH23" s="32">
        <v>189.56595098171999</v>
      </c>
      <c r="CI23" s="32">
        <v>119.05635333874</v>
      </c>
      <c r="CJ23" s="32">
        <v>157.54598706540401</v>
      </c>
      <c r="CK23" s="32">
        <v>554.06000000000199</v>
      </c>
      <c r="CL23" s="32">
        <v>554.10199999999998</v>
      </c>
      <c r="CM23" s="32">
        <v>561.18999999999801</v>
      </c>
      <c r="CN23" s="32">
        <v>527.95999999999799</v>
      </c>
      <c r="CO23" s="32">
        <v>548.46500000000106</v>
      </c>
      <c r="CP23" s="32">
        <v>543.19000000000005</v>
      </c>
      <c r="CQ23" s="32">
        <v>8960.3599999999697</v>
      </c>
      <c r="CR23" s="32">
        <v>550.16399999999999</v>
      </c>
      <c r="CS23" s="32">
        <v>1</v>
      </c>
      <c r="CT23" s="32">
        <v>95.919970512800901</v>
      </c>
      <c r="CU23" s="32">
        <v>0.104265712862243</v>
      </c>
      <c r="CV23" s="32">
        <v>0.38631545643014698</v>
      </c>
      <c r="CW23" s="32">
        <v>0.91645459748123603</v>
      </c>
      <c r="CX23" s="32">
        <v>536.54140272140398</v>
      </c>
      <c r="CY23" s="32">
        <v>30.341000000000001</v>
      </c>
      <c r="CZ23" s="32">
        <v>11943.66</v>
      </c>
      <c r="DA23" s="32">
        <v>74.666999999999803</v>
      </c>
      <c r="DB23" s="33">
        <v>7.7869666084135706E-11</v>
      </c>
      <c r="DC23" s="33">
        <v>-5.3908228177722301E-5</v>
      </c>
      <c r="DD23" s="32">
        <v>309.15499999999997</v>
      </c>
      <c r="DE23" s="32">
        <v>-3</v>
      </c>
      <c r="DF23" s="32">
        <v>992.19999999999595</v>
      </c>
      <c r="DG23" s="32">
        <v>1834.79999999999</v>
      </c>
      <c r="DH23" s="32">
        <v>1618.29999999999</v>
      </c>
      <c r="DI23" s="32">
        <v>483.30000000000098</v>
      </c>
      <c r="DJ23" s="32">
        <v>46.417012262941903</v>
      </c>
      <c r="DK23" s="32">
        <v>0.26857197840511399</v>
      </c>
      <c r="DL23" s="32">
        <v>0.88066325337315099</v>
      </c>
      <c r="DM23" s="32">
        <v>0.390258025636601</v>
      </c>
      <c r="DN23" s="32">
        <v>161.819999999999</v>
      </c>
      <c r="DO23" s="32">
        <v>284.46800000000002</v>
      </c>
      <c r="DP23" s="32">
        <v>-52.46</v>
      </c>
      <c r="DQ23" s="32">
        <v>151.86000000000001</v>
      </c>
      <c r="DR23" s="32">
        <v>-47.050000000000097</v>
      </c>
      <c r="DS23" s="32">
        <v>167.22</v>
      </c>
      <c r="DT23" s="32">
        <v>51.979999999999798</v>
      </c>
      <c r="DU23" s="32">
        <v>160.29999999999899</v>
      </c>
      <c r="DV23" s="32">
        <v>822.4</v>
      </c>
      <c r="DW23" s="32">
        <v>25.99</v>
      </c>
      <c r="DX23" s="32">
        <v>-76.870000000000303</v>
      </c>
      <c r="DY23" s="32">
        <v>855.099999999999</v>
      </c>
      <c r="DZ23" s="32">
        <v>-148.599999999999</v>
      </c>
      <c r="EA23" s="32">
        <v>-309.79999999999899</v>
      </c>
      <c r="EB23" s="32">
        <v>7297.9699999999903</v>
      </c>
      <c r="EC23" s="32">
        <v>3065.3299999999899</v>
      </c>
      <c r="ED23" s="32">
        <v>466.68</v>
      </c>
      <c r="EE23" s="32">
        <v>2697.3999999999901</v>
      </c>
      <c r="EF23" s="32">
        <v>407.47</v>
      </c>
      <c r="EG23" s="32">
        <v>-339.96</v>
      </c>
      <c r="EH23" s="32">
        <v>-43.16</v>
      </c>
      <c r="EI23" s="32">
        <v>37.86</v>
      </c>
      <c r="EJ23" s="32">
        <v>77.870000000000104</v>
      </c>
      <c r="EK23" s="32">
        <v>-2700.1399999999899</v>
      </c>
      <c r="EL23" s="32">
        <v>1770.4641859441299</v>
      </c>
      <c r="EM23" s="32">
        <v>1546.91572932545</v>
      </c>
      <c r="EN23" s="32">
        <v>5.7961280158274402</v>
      </c>
      <c r="EO23" s="32">
        <v>5.1327448665094</v>
      </c>
      <c r="EP23" s="32">
        <v>6.14555214589556</v>
      </c>
      <c r="EQ23" s="32">
        <v>1E-3</v>
      </c>
      <c r="ER23" s="32">
        <v>743.60207480000997</v>
      </c>
      <c r="ES23" s="32">
        <v>1476.5454070788801</v>
      </c>
      <c r="ET23" s="32">
        <v>1200.8894732080801</v>
      </c>
      <c r="EU23" s="32">
        <v>897.79344064148904</v>
      </c>
      <c r="EV23" s="32">
        <v>1081.1740545488501</v>
      </c>
      <c r="EW23" s="32">
        <v>1119.61939140147</v>
      </c>
      <c r="EX23" s="32">
        <v>76414</v>
      </c>
      <c r="EY23" s="32">
        <v>69.655634680020199</v>
      </c>
      <c r="EZ23" s="32">
        <v>5.9666175842285103</v>
      </c>
      <c r="FA23" s="32">
        <v>2.7926094532012899</v>
      </c>
      <c r="FB23" s="32">
        <v>33</v>
      </c>
      <c r="FC23" s="32">
        <v>6</v>
      </c>
      <c r="FD23" s="32">
        <v>3</v>
      </c>
      <c r="FE23" s="32">
        <v>55</v>
      </c>
      <c r="FF23" s="32">
        <v>4</v>
      </c>
      <c r="FG23" s="32">
        <v>3</v>
      </c>
      <c r="FH23" s="32">
        <v>49</v>
      </c>
      <c r="FI23" s="32">
        <v>6</v>
      </c>
      <c r="FJ23" s="32">
        <v>4</v>
      </c>
      <c r="FK23" s="32">
        <v>523</v>
      </c>
      <c r="FL23" s="32">
        <v>2035</v>
      </c>
      <c r="FM23" s="32">
        <v>1969</v>
      </c>
      <c r="FN23" s="32">
        <v>557.08999999999799</v>
      </c>
      <c r="FO23" s="32">
        <v>3368</v>
      </c>
      <c r="FP23" s="32">
        <v>3225.6</v>
      </c>
      <c r="FQ23" s="32">
        <v>5014.7</v>
      </c>
      <c r="FR23" s="32">
        <v>10518.2599999999</v>
      </c>
      <c r="FS23" s="32">
        <v>26.943534727693901</v>
      </c>
      <c r="FT23" s="32">
        <v>279.42999999999898</v>
      </c>
      <c r="FU23" s="32">
        <v>49407</v>
      </c>
      <c r="FV23" s="32">
        <v>9494.7400000000198</v>
      </c>
      <c r="FW23" s="32">
        <v>43457</v>
      </c>
      <c r="FX23" s="33">
        <v>3.7134451354567599E-13</v>
      </c>
      <c r="FY23" s="32">
        <v>3504.7370878503498</v>
      </c>
      <c r="FZ23" s="32">
        <v>8817.1416607918509</v>
      </c>
      <c r="GA23" s="32">
        <v>8416.1699067980699</v>
      </c>
      <c r="GB23" s="32">
        <v>6255.6763823967603</v>
      </c>
      <c r="GC23" s="32">
        <v>6548.0994336307003</v>
      </c>
      <c r="GD23" s="32">
        <v>7719.7533662048399</v>
      </c>
      <c r="GE23" s="32">
        <v>562.9</v>
      </c>
      <c r="GF23" s="32">
        <v>750.46500000000003</v>
      </c>
      <c r="GG23" s="32">
        <v>1116.7079999999901</v>
      </c>
      <c r="GH23" s="32">
        <v>1285.55</v>
      </c>
      <c r="GI23" s="32">
        <v>12711.7609999999</v>
      </c>
      <c r="GJ23" s="32">
        <v>12265.9389999999</v>
      </c>
      <c r="GK23" s="32">
        <v>17365.215999999898</v>
      </c>
      <c r="GL23" s="32">
        <v>1306.9849999999999</v>
      </c>
      <c r="GM23" s="32">
        <v>1854.05</v>
      </c>
      <c r="GN23" s="32">
        <v>2600.73199999999</v>
      </c>
      <c r="GO23" s="32">
        <v>-406.069999999998</v>
      </c>
      <c r="GP23" s="32">
        <v>14170.3611916665</v>
      </c>
      <c r="GQ23" s="32">
        <v>132687.135866339</v>
      </c>
      <c r="GR23" s="32">
        <v>9.7496481054388902</v>
      </c>
      <c r="GS23" s="32">
        <v>-1.84494772943564</v>
      </c>
      <c r="GT23" s="32">
        <v>-10.429868802362501</v>
      </c>
      <c r="GU23" s="32">
        <v>6.3047968079405097</v>
      </c>
      <c r="GV23" s="32">
        <v>6.5253587925884702</v>
      </c>
    </row>
    <row r="24" spans="1:204" x14ac:dyDescent="0.25">
      <c r="A24" s="27" t="s">
        <v>217</v>
      </c>
      <c r="B24" s="28" t="s">
        <v>217</v>
      </c>
      <c r="C24" s="28">
        <v>0.12</v>
      </c>
      <c r="D24" s="28">
        <v>0.02</v>
      </c>
      <c r="E24" s="28">
        <v>0.02</v>
      </c>
      <c r="F24" s="28" t="s">
        <v>217</v>
      </c>
      <c r="G24" s="28">
        <v>0.3</v>
      </c>
      <c r="H24" s="28">
        <v>0.24</v>
      </c>
      <c r="I24" s="28">
        <v>0.06</v>
      </c>
      <c r="J24" s="29" t="s">
        <v>217</v>
      </c>
      <c r="K24" s="30">
        <v>0.12</v>
      </c>
      <c r="L24" s="30">
        <v>0.11</v>
      </c>
      <c r="M24" s="30">
        <v>0.02</v>
      </c>
      <c r="N24" s="41" t="s">
        <v>217</v>
      </c>
      <c r="O24" s="30">
        <v>0.28999999999999998</v>
      </c>
      <c r="P24" s="30">
        <v>0.52</v>
      </c>
      <c r="Q24" s="30">
        <v>0.69</v>
      </c>
      <c r="R24" s="29" t="s">
        <v>217</v>
      </c>
      <c r="S24" s="31">
        <v>0.7</v>
      </c>
      <c r="T24" s="31">
        <v>0.17</v>
      </c>
      <c r="U24" s="31">
        <v>0.17</v>
      </c>
      <c r="V24" s="29" t="s">
        <v>217</v>
      </c>
      <c r="W24" s="31">
        <v>0.28999999999999998</v>
      </c>
      <c r="X24" s="31">
        <v>0.12</v>
      </c>
      <c r="Y24" s="31">
        <v>0.09</v>
      </c>
      <c r="Z24" s="29" t="s">
        <v>217</v>
      </c>
      <c r="AA24" s="29">
        <v>0.28999999999999998</v>
      </c>
      <c r="AB24" s="29">
        <v>0.49</v>
      </c>
      <c r="AC24" s="29">
        <v>0.35</v>
      </c>
      <c r="AD24" s="28" t="s">
        <v>217</v>
      </c>
      <c r="AE24" s="28">
        <v>0.17</v>
      </c>
      <c r="AF24" s="28">
        <v>0.14000000000000001</v>
      </c>
      <c r="AG24" s="28">
        <v>0.1</v>
      </c>
      <c r="AH24" s="28" t="s">
        <v>217</v>
      </c>
      <c r="AI24" s="28">
        <v>0.3</v>
      </c>
      <c r="AJ24" s="28">
        <v>0.28000000000000003</v>
      </c>
      <c r="AK24" s="28">
        <v>0.19</v>
      </c>
      <c r="AL24" s="32" t="s">
        <v>217</v>
      </c>
      <c r="AM24" s="32">
        <v>7</v>
      </c>
      <c r="AN24" s="32">
        <v>5.8313901345291401E-2</v>
      </c>
      <c r="AO24" s="32">
        <v>1274.5999999999999</v>
      </c>
      <c r="AP24" s="32">
        <v>1269.6399999999901</v>
      </c>
      <c r="AQ24" s="32">
        <v>223.35799999999901</v>
      </c>
      <c r="AR24" s="32">
        <v>87.591464832627807</v>
      </c>
      <c r="AS24" s="32">
        <v>11.658399999999901</v>
      </c>
      <c r="AT24" s="32">
        <v>42.512799999999999</v>
      </c>
      <c r="AU24" s="32">
        <v>2.3478495370559498E-2</v>
      </c>
      <c r="AV24" s="32">
        <v>-457.59485714285699</v>
      </c>
      <c r="AW24" s="32">
        <v>238.82216787401001</v>
      </c>
      <c r="AX24" s="32">
        <v>6.0000000000012399</v>
      </c>
      <c r="AY24" s="32">
        <v>4.0528783161312698E-3</v>
      </c>
      <c r="AZ24" s="32">
        <v>1.9698888879808901E-2</v>
      </c>
      <c r="BA24" s="32">
        <v>4.1724183957265903E-2</v>
      </c>
      <c r="BB24" s="32">
        <v>0.462927920197654</v>
      </c>
      <c r="BC24" s="32">
        <v>626.63928736821197</v>
      </c>
      <c r="BD24" s="32">
        <v>702.27345634519702</v>
      </c>
      <c r="BE24" s="32">
        <v>533.56521708439402</v>
      </c>
      <c r="BF24" s="32">
        <v>250.719726050764</v>
      </c>
      <c r="BG24" s="32">
        <v>0.53707207980234795</v>
      </c>
      <c r="BH24" s="32">
        <v>1.2016412304726201</v>
      </c>
      <c r="BI24" s="32">
        <v>1211.1229332543901</v>
      </c>
      <c r="BJ24" s="32">
        <v>307.105812210848</v>
      </c>
      <c r="BK24" s="32">
        <v>186.316536190481</v>
      </c>
      <c r="BL24" s="32">
        <v>1.13003565717897E-2</v>
      </c>
      <c r="BM24" s="32">
        <v>0.463610010160526</v>
      </c>
      <c r="BN24" s="32">
        <v>2404.5199378533398</v>
      </c>
      <c r="BO24" s="32">
        <v>1497.3142298749899</v>
      </c>
      <c r="BP24" s="32">
        <v>1130.7327439119299</v>
      </c>
      <c r="BQ24" s="32">
        <v>4.5017937549542801E-2</v>
      </c>
      <c r="BR24" s="32">
        <v>0.53638998983947594</v>
      </c>
      <c r="BS24" s="32">
        <v>9177.6749999999793</v>
      </c>
      <c r="BT24" s="32">
        <v>20.232392716683901</v>
      </c>
      <c r="BU24" s="32">
        <v>-55.929686858688299</v>
      </c>
      <c r="BV24" s="32">
        <v>32.1634093049082</v>
      </c>
      <c r="BW24" s="32">
        <v>206.79999999999899</v>
      </c>
      <c r="BX24" s="32">
        <v>209.79799999999901</v>
      </c>
      <c r="BY24" s="32">
        <v>215.1</v>
      </c>
      <c r="BZ24" s="32">
        <v>227.38</v>
      </c>
      <c r="CA24" s="32">
        <v>1.8632696699275799</v>
      </c>
      <c r="CB24" s="32">
        <v>-457.59485714285597</v>
      </c>
      <c r="CC24" s="32">
        <v>99.579999999999899</v>
      </c>
      <c r="CD24" s="32">
        <v>26407.1</v>
      </c>
      <c r="CE24" s="32">
        <v>0.578489449124171</v>
      </c>
      <c r="CF24" s="32">
        <v>0.97563783252870995</v>
      </c>
      <c r="CG24" s="32">
        <v>1.0171696049107599</v>
      </c>
      <c r="CH24" s="32">
        <v>151.747248244638</v>
      </c>
      <c r="CI24" s="32">
        <v>42.5368869417509</v>
      </c>
      <c r="CJ24" s="32">
        <v>247.52060451203599</v>
      </c>
      <c r="CK24" s="32">
        <v>231.02999999999901</v>
      </c>
      <c r="CL24" s="32">
        <v>227.81899999999999</v>
      </c>
      <c r="CM24" s="32">
        <v>221.44999999999899</v>
      </c>
      <c r="CN24" s="32">
        <v>236.04999999999899</v>
      </c>
      <c r="CO24" s="32">
        <v>232.179</v>
      </c>
      <c r="CP24" s="32">
        <v>228.98999999999899</v>
      </c>
      <c r="CQ24" s="32">
        <v>3174.91</v>
      </c>
      <c r="CR24" s="32">
        <v>228.18</v>
      </c>
      <c r="CS24" s="32">
        <v>1</v>
      </c>
      <c r="CT24" s="32">
        <v>95.919970512800901</v>
      </c>
      <c r="CU24" s="32">
        <v>2.84218210126338E-3</v>
      </c>
      <c r="CV24" s="32">
        <v>0.287985107816908</v>
      </c>
      <c r="CW24" s="32">
        <v>0.95763066976605704</v>
      </c>
      <c r="CX24" s="32">
        <v>238.82216787401001</v>
      </c>
      <c r="CY24" s="32">
        <v>-5.9889999999999901</v>
      </c>
      <c r="CZ24" s="32">
        <v>4636.8500000000004</v>
      </c>
      <c r="DA24" s="32">
        <v>14.5269999999999</v>
      </c>
      <c r="DB24" s="33">
        <v>4.8203191244831903E-11</v>
      </c>
      <c r="DC24" s="32">
        <v>1.05337333237446E-4</v>
      </c>
      <c r="DD24" s="32">
        <v>37.195999999999998</v>
      </c>
      <c r="DE24" s="32">
        <v>6</v>
      </c>
      <c r="DF24" s="32">
        <v>402.4</v>
      </c>
      <c r="DG24" s="32">
        <v>379.4</v>
      </c>
      <c r="DH24" s="32">
        <v>336.49999999999898</v>
      </c>
      <c r="DI24" s="32">
        <v>451.79999999999899</v>
      </c>
      <c r="DJ24" s="32">
        <v>28.733244042767598</v>
      </c>
      <c r="DK24" s="32">
        <v>4.3241873420891101E-4</v>
      </c>
      <c r="DL24" s="32">
        <v>0.85395443452145603</v>
      </c>
      <c r="DM24" s="32">
        <v>0.52034761148214903</v>
      </c>
      <c r="DN24" s="32">
        <v>68.989999999999895</v>
      </c>
      <c r="DO24" s="32">
        <v>121.47</v>
      </c>
      <c r="DP24" s="32">
        <v>5.92</v>
      </c>
      <c r="DQ24" s="32">
        <v>66.759999999999906</v>
      </c>
      <c r="DR24" s="32">
        <v>28.1299999999999</v>
      </c>
      <c r="DS24" s="32">
        <v>98.86</v>
      </c>
      <c r="DT24" s="32">
        <v>-10.309999999999899</v>
      </c>
      <c r="DU24" s="32">
        <v>-68.199999999999903</v>
      </c>
      <c r="DV24" s="32">
        <v>376.79999999999899</v>
      </c>
      <c r="DW24" s="32">
        <v>30.939999999999898</v>
      </c>
      <c r="DX24" s="32">
        <v>25.25</v>
      </c>
      <c r="DY24" s="32">
        <v>415.89999999999901</v>
      </c>
      <c r="DZ24" s="32">
        <v>-3.4</v>
      </c>
      <c r="EA24" s="32">
        <v>-8.3000000000000096</v>
      </c>
      <c r="EB24" s="32">
        <v>2872.43</v>
      </c>
      <c r="EC24" s="32">
        <v>1227.9000000000001</v>
      </c>
      <c r="ED24" s="32">
        <v>209.31</v>
      </c>
      <c r="EE24" s="32">
        <v>1010.9</v>
      </c>
      <c r="EF24" s="32">
        <v>163.229999999999</v>
      </c>
      <c r="EG24" s="32">
        <v>-45.339999999999897</v>
      </c>
      <c r="EH24" s="32">
        <v>-15.97</v>
      </c>
      <c r="EI24" s="32">
        <v>51.219999999999899</v>
      </c>
      <c r="EJ24" s="32">
        <v>-93.35</v>
      </c>
      <c r="EK24" s="32">
        <v>-704.5</v>
      </c>
      <c r="EL24" s="32">
        <v>626.63928736821197</v>
      </c>
      <c r="EM24" s="32">
        <v>229.40306226453899</v>
      </c>
      <c r="EN24" s="32">
        <v>0.70015047347568204</v>
      </c>
      <c r="EO24" s="32">
        <v>0.79568761038089497</v>
      </c>
      <c r="EP24" s="32">
        <v>0.54440051277559398</v>
      </c>
      <c r="EQ24" s="32">
        <v>1E-3</v>
      </c>
      <c r="ER24" s="32">
        <v>179.16430430770799</v>
      </c>
      <c r="ES24" s="32">
        <v>163.08807040089201</v>
      </c>
      <c r="ET24" s="32">
        <v>1225.10713024283</v>
      </c>
      <c r="EU24" s="32">
        <v>297.06749231580602</v>
      </c>
      <c r="EV24" s="32">
        <v>138.543151111085</v>
      </c>
      <c r="EW24" s="32">
        <v>1250.1610046910801</v>
      </c>
      <c r="EX24" s="32">
        <v>27446</v>
      </c>
      <c r="EY24" s="32">
        <v>23.485805149997901</v>
      </c>
      <c r="EZ24" s="32">
        <v>8.1857357025146396</v>
      </c>
      <c r="FA24" s="32">
        <v>8.32421779632568</v>
      </c>
      <c r="FB24" s="32">
        <v>8</v>
      </c>
      <c r="FC24" s="32">
        <v>1</v>
      </c>
      <c r="FD24" s="32">
        <v>0</v>
      </c>
      <c r="FE24" s="32">
        <v>31</v>
      </c>
      <c r="FF24" s="32">
        <v>0</v>
      </c>
      <c r="FG24" s="32">
        <v>0</v>
      </c>
      <c r="FH24" s="32">
        <v>10</v>
      </c>
      <c r="FI24" s="32">
        <v>2</v>
      </c>
      <c r="FJ24" s="32">
        <v>1</v>
      </c>
      <c r="FK24" s="32">
        <v>164</v>
      </c>
      <c r="FL24" s="32">
        <v>525</v>
      </c>
      <c r="FM24" s="32">
        <v>782</v>
      </c>
      <c r="FN24" s="32">
        <v>229.29999999999899</v>
      </c>
      <c r="FO24" s="32">
        <v>1283.0999999999999</v>
      </c>
      <c r="FP24" s="32">
        <v>1499.1</v>
      </c>
      <c r="FQ24" s="32">
        <v>1846</v>
      </c>
      <c r="FR24" s="32">
        <v>1593.06</v>
      </c>
      <c r="FS24" s="32">
        <v>16.883774569503</v>
      </c>
      <c r="FT24" s="32">
        <v>158.20999999999901</v>
      </c>
      <c r="FU24" s="32">
        <v>19960</v>
      </c>
      <c r="FV24" s="32">
        <v>3302.08</v>
      </c>
      <c r="FW24" s="32">
        <v>17568</v>
      </c>
      <c r="FX24" s="33">
        <v>2.02264065663929E-13</v>
      </c>
      <c r="FY24" s="32">
        <v>702.27345634519702</v>
      </c>
      <c r="FZ24" s="32">
        <v>1286.5184815294199</v>
      </c>
      <c r="GA24" s="32">
        <v>2517.7043549877999</v>
      </c>
      <c r="GB24" s="32">
        <v>1213.9779859570999</v>
      </c>
      <c r="GC24" s="32">
        <v>1318.6434951942699</v>
      </c>
      <c r="GD24" s="32">
        <v>2475.2060451203602</v>
      </c>
      <c r="GE24" s="32">
        <v>227.439999999999</v>
      </c>
      <c r="GF24" s="32">
        <v>180.79</v>
      </c>
      <c r="GG24" s="32">
        <v>215.47800000000001</v>
      </c>
      <c r="GH24" s="32">
        <v>382.93099999999998</v>
      </c>
      <c r="GI24" s="32">
        <v>4248.6019999999999</v>
      </c>
      <c r="GJ24" s="32">
        <v>4095.9830000000002</v>
      </c>
      <c r="GK24" s="32">
        <v>4929.0730000000003</v>
      </c>
      <c r="GL24" s="32">
        <v>363.07499999999902</v>
      </c>
      <c r="GM24" s="32">
        <v>103.711</v>
      </c>
      <c r="GN24" s="32">
        <v>413.16</v>
      </c>
      <c r="GO24" s="32">
        <v>-61.649999999999899</v>
      </c>
      <c r="GP24" s="32">
        <v>4344.0646916666701</v>
      </c>
      <c r="GQ24" s="32">
        <v>44227.274133016901</v>
      </c>
      <c r="GR24" s="32">
        <v>6.0493434977577403</v>
      </c>
      <c r="GS24" s="32">
        <v>-0.489543171066259</v>
      </c>
      <c r="GT24" s="32">
        <v>20.4215746731983</v>
      </c>
      <c r="GU24" s="32">
        <v>9.6775208178897696</v>
      </c>
      <c r="GV24" s="32">
        <v>9.3789310552863796</v>
      </c>
    </row>
    <row r="25" spans="1:204" x14ac:dyDescent="0.25">
      <c r="A25" s="27" t="s">
        <v>218</v>
      </c>
      <c r="B25" s="28" t="s">
        <v>218</v>
      </c>
      <c r="C25" s="28">
        <v>0.21</v>
      </c>
      <c r="D25" s="28">
        <v>0.17</v>
      </c>
      <c r="E25" s="28">
        <v>0.06</v>
      </c>
      <c r="F25" s="28" t="s">
        <v>218</v>
      </c>
      <c r="G25" s="28">
        <v>0.37</v>
      </c>
      <c r="H25" s="28">
        <v>0.3</v>
      </c>
      <c r="I25" s="28">
        <v>0.11</v>
      </c>
      <c r="J25" s="29" t="s">
        <v>218</v>
      </c>
      <c r="K25" s="30">
        <v>0.21</v>
      </c>
      <c r="L25" s="30">
        <v>0.17</v>
      </c>
      <c r="M25" s="30">
        <v>0.09</v>
      </c>
      <c r="N25" s="41" t="s">
        <v>218</v>
      </c>
      <c r="O25" s="30">
        <v>0.38</v>
      </c>
      <c r="P25" s="30">
        <v>0.34</v>
      </c>
      <c r="Q25" s="30">
        <v>0.26</v>
      </c>
      <c r="R25" s="29" t="s">
        <v>218</v>
      </c>
      <c r="S25" s="31">
        <v>0.69</v>
      </c>
      <c r="T25" s="31">
        <v>0.32</v>
      </c>
      <c r="U25" s="31">
        <v>0.35</v>
      </c>
      <c r="V25" s="29" t="s">
        <v>218</v>
      </c>
      <c r="W25" s="31">
        <v>0.37</v>
      </c>
      <c r="X25" s="31">
        <v>0.2</v>
      </c>
      <c r="Y25" s="31">
        <v>0.21</v>
      </c>
      <c r="Z25" s="29" t="s">
        <v>218</v>
      </c>
      <c r="AA25" s="29">
        <v>0.38</v>
      </c>
      <c r="AB25" s="29">
        <v>0.44</v>
      </c>
      <c r="AC25" s="29">
        <v>0.38</v>
      </c>
      <c r="AD25" s="28" t="s">
        <v>218</v>
      </c>
      <c r="AE25" s="28">
        <v>0.21</v>
      </c>
      <c r="AF25" s="28">
        <v>0.19</v>
      </c>
      <c r="AG25" s="28">
        <v>0.17</v>
      </c>
      <c r="AH25" s="28" t="s">
        <v>218</v>
      </c>
      <c r="AI25" s="28">
        <v>0.39</v>
      </c>
      <c r="AJ25" s="28">
        <v>0.36</v>
      </c>
      <c r="AK25" s="28">
        <v>0.32</v>
      </c>
      <c r="AL25" s="32" t="s">
        <v>218</v>
      </c>
      <c r="AM25" s="32">
        <v>3</v>
      </c>
      <c r="AN25" s="32">
        <v>-0.164467741935483</v>
      </c>
      <c r="AO25" s="32">
        <v>668.3</v>
      </c>
      <c r="AP25" s="32">
        <v>658.29</v>
      </c>
      <c r="AQ25" s="32">
        <v>124.33499999999999</v>
      </c>
      <c r="AR25" s="32">
        <v>41.831152727191999</v>
      </c>
      <c r="AS25" s="32">
        <v>-21.7758</v>
      </c>
      <c r="AT25" s="32">
        <v>11.9666</v>
      </c>
      <c r="AU25" s="32">
        <v>2.47558053749217E-2</v>
      </c>
      <c r="AV25" s="32">
        <v>-200.545619047619</v>
      </c>
      <c r="AW25" s="32">
        <v>365.50916055159001</v>
      </c>
      <c r="AX25" s="32">
        <v>4.0000000000004201</v>
      </c>
      <c r="AY25" s="32">
        <v>3.1032873698044901E-3</v>
      </c>
      <c r="AZ25" s="32">
        <v>2.1585163811961901E-2</v>
      </c>
      <c r="BA25" s="32">
        <v>3.5897787157895697E-2</v>
      </c>
      <c r="BB25" s="32">
        <v>0.44993271715662603</v>
      </c>
      <c r="BC25" s="32">
        <v>645.26633322278303</v>
      </c>
      <c r="BD25" s="32">
        <v>318.51440578851498</v>
      </c>
      <c r="BE25" s="32">
        <v>224.897930368761</v>
      </c>
      <c r="BF25" s="32">
        <v>113.74836706939899</v>
      </c>
      <c r="BG25" s="32">
        <v>0.55006728284337503</v>
      </c>
      <c r="BH25" s="32">
        <v>3.50036245510067</v>
      </c>
      <c r="BI25" s="32">
        <v>1328.3444687840599</v>
      </c>
      <c r="BJ25" s="32">
        <v>648.90239826053005</v>
      </c>
      <c r="BK25" s="32">
        <v>561.97119893423303</v>
      </c>
      <c r="BL25" s="32">
        <v>2.5820486805284999E-2</v>
      </c>
      <c r="BM25" s="32">
        <v>0.44637364738652902</v>
      </c>
      <c r="BN25" s="32">
        <v>2141.1143268414098</v>
      </c>
      <c r="BO25" s="32">
        <v>1411.60583483357</v>
      </c>
      <c r="BP25" s="32">
        <v>1247.7996922934401</v>
      </c>
      <c r="BQ25" s="32">
        <v>7.2051862728729599E-2</v>
      </c>
      <c r="BR25" s="32">
        <v>0.55362635261347204</v>
      </c>
      <c r="BS25" s="32">
        <v>7007.7299999999796</v>
      </c>
      <c r="BT25" s="32">
        <v>13.4459747668093</v>
      </c>
      <c r="BU25" s="32">
        <v>-89.743131817341407</v>
      </c>
      <c r="BV25" s="32">
        <v>6.34281092359294</v>
      </c>
      <c r="BW25" s="32">
        <v>121.599999999999</v>
      </c>
      <c r="BX25" s="32">
        <v>124.815</v>
      </c>
      <c r="BY25" s="32">
        <v>127.039999999999</v>
      </c>
      <c r="BZ25" s="32">
        <v>125.04</v>
      </c>
      <c r="CA25" s="32">
        <v>1.1035781732452601</v>
      </c>
      <c r="CB25" s="32">
        <v>-200.545619047619</v>
      </c>
      <c r="CC25" s="32">
        <v>54.29</v>
      </c>
      <c r="CD25" s="32">
        <v>14771.1</v>
      </c>
      <c r="CE25" s="32">
        <v>0.53530631739925005</v>
      </c>
      <c r="CF25" s="32">
        <v>1.14756420345131</v>
      </c>
      <c r="CG25" s="32">
        <v>1.1127606712006499</v>
      </c>
      <c r="CH25" s="32">
        <v>99.168891852424395</v>
      </c>
      <c r="CI25" s="32">
        <v>75.035868564863506</v>
      </c>
      <c r="CJ25" s="32">
        <v>275.98310777708798</v>
      </c>
      <c r="CK25" s="32">
        <v>122.689999999999</v>
      </c>
      <c r="CL25" s="32">
        <v>121.208</v>
      </c>
      <c r="CM25" s="32">
        <v>120.05999999999899</v>
      </c>
      <c r="CN25" s="32">
        <v>128</v>
      </c>
      <c r="CO25" s="32">
        <v>124.452</v>
      </c>
      <c r="CP25" s="32">
        <v>122.609999999999</v>
      </c>
      <c r="CQ25" s="32">
        <v>1783.64</v>
      </c>
      <c r="CR25" s="32">
        <v>124.26900000000001</v>
      </c>
      <c r="CS25" s="32">
        <v>1</v>
      </c>
      <c r="CT25" s="32">
        <v>95.919970512800901</v>
      </c>
      <c r="CU25" s="32">
        <v>0.97995261682638701</v>
      </c>
      <c r="CV25" s="32">
        <v>3.4367626907255401E-2</v>
      </c>
      <c r="CW25" s="32">
        <v>0.1962440699636</v>
      </c>
      <c r="CX25" s="32">
        <v>365.50916055159001</v>
      </c>
      <c r="CY25" s="32">
        <v>2.9609999999999901</v>
      </c>
      <c r="CZ25" s="32">
        <v>2539.4199999999901</v>
      </c>
      <c r="DA25" s="32">
        <v>15.8209999999999</v>
      </c>
      <c r="DB25" s="33">
        <v>4.16881572374027E-11</v>
      </c>
      <c r="DC25" s="33">
        <v>6.9987703499539499E-5</v>
      </c>
      <c r="DD25" s="32">
        <v>21.747</v>
      </c>
      <c r="DE25" s="32">
        <v>4</v>
      </c>
      <c r="DF25" s="32">
        <v>43.799999999999898</v>
      </c>
      <c r="DG25" s="32">
        <v>15.1</v>
      </c>
      <c r="DH25" s="32">
        <v>0.499999999999999</v>
      </c>
      <c r="DI25" s="32">
        <v>39.1</v>
      </c>
      <c r="DJ25" s="32">
        <v>24.849723942789499</v>
      </c>
      <c r="DK25" s="32">
        <v>0.712048648316705</v>
      </c>
      <c r="DL25" s="32">
        <v>7.0791795374202604E-2</v>
      </c>
      <c r="DM25" s="32">
        <v>0.69855224868154897</v>
      </c>
      <c r="DN25" s="32">
        <v>-7.5900000000000096</v>
      </c>
      <c r="DO25" s="32">
        <v>58.398000000000003</v>
      </c>
      <c r="DP25" s="32">
        <v>22.38</v>
      </c>
      <c r="DQ25" s="32">
        <v>31.8799999999999</v>
      </c>
      <c r="DR25" s="32">
        <v>-16.5199999999999</v>
      </c>
      <c r="DS25" s="32">
        <v>28.74</v>
      </c>
      <c r="DT25" s="32">
        <v>10.229999999999899</v>
      </c>
      <c r="DU25" s="32">
        <v>10.899999999999901</v>
      </c>
      <c r="DV25" s="32">
        <v>363.1</v>
      </c>
      <c r="DW25" s="32">
        <v>-19.989999999999998</v>
      </c>
      <c r="DX25" s="32">
        <v>-26.639999999999901</v>
      </c>
      <c r="DY25" s="32">
        <v>126.5</v>
      </c>
      <c r="DZ25" s="32">
        <v>-24.1999999999999</v>
      </c>
      <c r="EA25" s="32">
        <v>-82.2</v>
      </c>
      <c r="EB25" s="32">
        <v>1558.42</v>
      </c>
      <c r="EC25" s="32">
        <v>639.91</v>
      </c>
      <c r="ED25" s="32">
        <v>103.849999999999</v>
      </c>
      <c r="EE25" s="32">
        <v>466.3</v>
      </c>
      <c r="EF25" s="32">
        <v>88.179999999999893</v>
      </c>
      <c r="EG25" s="32">
        <v>-85.55</v>
      </c>
      <c r="EH25" s="32">
        <v>-24.06</v>
      </c>
      <c r="EI25" s="32">
        <v>-5.05</v>
      </c>
      <c r="EJ25" s="32">
        <v>-12.489999999999901</v>
      </c>
      <c r="EK25" s="32">
        <v>-604.27999999999895</v>
      </c>
      <c r="EL25" s="32">
        <v>645.26633322278303</v>
      </c>
      <c r="EM25" s="32">
        <v>389.23753781437802</v>
      </c>
      <c r="EN25" s="32">
        <v>0.32351689568985598</v>
      </c>
      <c r="EO25" s="32">
        <v>0.36163572400250499</v>
      </c>
      <c r="EP25" s="32">
        <v>0.25068585407069</v>
      </c>
      <c r="EQ25" s="32">
        <v>1E-3</v>
      </c>
      <c r="ER25" s="32">
        <v>91.284132612075794</v>
      </c>
      <c r="ES25" s="32">
        <v>303.286323049055</v>
      </c>
      <c r="ET25" s="32">
        <v>1512.91674227049</v>
      </c>
      <c r="EU25" s="32">
        <v>209.22454742470799</v>
      </c>
      <c r="EV25" s="32">
        <v>218.89283365667799</v>
      </c>
      <c r="EW25" s="32">
        <v>1306.5448036806499</v>
      </c>
      <c r="EX25" s="32">
        <v>15890</v>
      </c>
      <c r="EY25" s="32">
        <v>13.686422000000601</v>
      </c>
      <c r="EZ25" s="32">
        <v>7.2087421417236301</v>
      </c>
      <c r="FA25" s="32">
        <v>6.1292381286620996</v>
      </c>
      <c r="FB25" s="32">
        <v>6</v>
      </c>
      <c r="FC25" s="32">
        <v>0</v>
      </c>
      <c r="FD25" s="32">
        <v>0</v>
      </c>
      <c r="FE25" s="32">
        <v>16</v>
      </c>
      <c r="FF25" s="32">
        <v>0</v>
      </c>
      <c r="FG25" s="32">
        <v>0</v>
      </c>
      <c r="FH25" s="32">
        <v>7</v>
      </c>
      <c r="FI25" s="32">
        <v>2</v>
      </c>
      <c r="FJ25" s="32">
        <v>1</v>
      </c>
      <c r="FK25" s="32">
        <v>93</v>
      </c>
      <c r="FL25" s="32">
        <v>377</v>
      </c>
      <c r="FM25" s="32">
        <v>399</v>
      </c>
      <c r="FN25" s="32">
        <v>113.05</v>
      </c>
      <c r="FO25" s="32">
        <v>738.39999999999895</v>
      </c>
      <c r="FP25" s="32">
        <v>664.9</v>
      </c>
      <c r="FQ25" s="32">
        <v>1090.9000000000001</v>
      </c>
      <c r="FR25" s="32">
        <v>1543.97</v>
      </c>
      <c r="FS25" s="32">
        <v>15.050728052904001</v>
      </c>
      <c r="FT25" s="32">
        <v>94.629999999999896</v>
      </c>
      <c r="FU25" s="32">
        <v>11031</v>
      </c>
      <c r="FV25" s="32">
        <v>1980.0699999999899</v>
      </c>
      <c r="FW25" s="32">
        <v>10395</v>
      </c>
      <c r="FX25" s="33">
        <v>1.36290724099019E-13</v>
      </c>
      <c r="FY25" s="32">
        <v>318.51440578851401</v>
      </c>
      <c r="FZ25" s="32">
        <v>1377.7356278386401</v>
      </c>
      <c r="GA25" s="32">
        <v>2149.72203775052</v>
      </c>
      <c r="GB25" s="32">
        <v>595.01335111454603</v>
      </c>
      <c r="GC25" s="32">
        <v>1200.57389703781</v>
      </c>
      <c r="GD25" s="32">
        <v>1931.8817544396099</v>
      </c>
      <c r="GE25" s="32">
        <v>121.8</v>
      </c>
      <c r="GF25" s="32">
        <v>151.26299999999901</v>
      </c>
      <c r="GG25" s="32">
        <v>173.481999999999</v>
      </c>
      <c r="GH25" s="32">
        <v>251.56199999999899</v>
      </c>
      <c r="GI25" s="32">
        <v>3153.0069999999901</v>
      </c>
      <c r="GJ25" s="32">
        <v>3055.288</v>
      </c>
      <c r="GK25" s="32">
        <v>3854.723</v>
      </c>
      <c r="GL25" s="32">
        <v>244.671999999999</v>
      </c>
      <c r="GM25" s="32">
        <v>180.94300000000001</v>
      </c>
      <c r="GN25" s="32">
        <v>504.92</v>
      </c>
      <c r="GO25" s="32">
        <v>-88.72</v>
      </c>
      <c r="GP25" s="32">
        <v>3312.4542566666601</v>
      </c>
      <c r="GQ25" s="32">
        <v>25153.716321302902</v>
      </c>
      <c r="GR25" s="32">
        <v>4.6794717741935097</v>
      </c>
      <c r="GS25" s="32">
        <v>4.6987100352267599E-3</v>
      </c>
      <c r="GT25" s="32">
        <v>13.5724488363084</v>
      </c>
      <c r="GU25" s="32">
        <v>9.5779604372337293</v>
      </c>
      <c r="GV25" s="32">
        <v>9.5032090562070408</v>
      </c>
    </row>
    <row r="26" spans="1:204" x14ac:dyDescent="0.25">
      <c r="A26" s="27" t="s">
        <v>219</v>
      </c>
      <c r="B26" s="28" t="s">
        <v>219</v>
      </c>
      <c r="C26" s="28">
        <v>0.17</v>
      </c>
      <c r="D26" s="28">
        <v>0.13</v>
      </c>
      <c r="E26" s="28">
        <v>0.02</v>
      </c>
      <c r="F26" s="28" t="s">
        <v>219</v>
      </c>
      <c r="G26" s="28">
        <v>0.26</v>
      </c>
      <c r="H26" s="28">
        <v>0.21</v>
      </c>
      <c r="I26" s="28">
        <v>0.03</v>
      </c>
      <c r="J26" s="29" t="s">
        <v>219</v>
      </c>
      <c r="K26" s="30">
        <v>0.17</v>
      </c>
      <c r="L26" s="30">
        <v>0.13</v>
      </c>
      <c r="M26" s="30">
        <v>0.06</v>
      </c>
      <c r="N26" s="29" t="s">
        <v>219</v>
      </c>
      <c r="O26" s="30">
        <v>0.26</v>
      </c>
      <c r="P26" s="30">
        <v>0.23</v>
      </c>
      <c r="Q26" s="30">
        <v>0.17</v>
      </c>
      <c r="R26" s="29" t="s">
        <v>219</v>
      </c>
      <c r="S26" s="31">
        <v>0.55000000000000004</v>
      </c>
      <c r="T26" s="31">
        <v>0.27</v>
      </c>
      <c r="U26" s="31">
        <v>0.28999999999999998</v>
      </c>
      <c r="V26" s="29" t="s">
        <v>219</v>
      </c>
      <c r="W26" s="31">
        <v>0.26</v>
      </c>
      <c r="X26" s="31">
        <v>0.17</v>
      </c>
      <c r="Y26" s="31">
        <v>0.16</v>
      </c>
      <c r="Z26" s="29" t="s">
        <v>219</v>
      </c>
      <c r="AA26" s="29">
        <v>0.26</v>
      </c>
      <c r="AB26" s="29">
        <v>0.42</v>
      </c>
      <c r="AC26" s="29">
        <v>0.33</v>
      </c>
      <c r="AD26" s="28" t="s">
        <v>219</v>
      </c>
      <c r="AE26" s="36">
        <v>0.18</v>
      </c>
      <c r="AF26" s="36">
        <v>0.14000000000000001</v>
      </c>
      <c r="AG26" s="36">
        <v>0.12</v>
      </c>
      <c r="AH26" s="28" t="s">
        <v>219</v>
      </c>
      <c r="AI26" s="28">
        <v>0.26</v>
      </c>
      <c r="AJ26" s="28">
        <v>0.25</v>
      </c>
      <c r="AK26" s="28">
        <v>0.22</v>
      </c>
      <c r="AL26" s="32" t="s">
        <v>219</v>
      </c>
      <c r="AM26" s="32">
        <v>3</v>
      </c>
      <c r="AN26" s="32">
        <v>-0.164467741935483</v>
      </c>
      <c r="AO26" s="32">
        <v>668.3</v>
      </c>
      <c r="AP26" s="32">
        <v>658.29</v>
      </c>
      <c r="AQ26" s="32">
        <v>124.33499999999999</v>
      </c>
      <c r="AR26" s="32">
        <v>24.593881359308501</v>
      </c>
      <c r="AS26" s="32">
        <v>-21.7758</v>
      </c>
      <c r="AT26" s="32">
        <v>11.9666</v>
      </c>
      <c r="AU26" s="32">
        <v>2.0415978110751999E-2</v>
      </c>
      <c r="AV26" s="32">
        <v>-205.017523809523</v>
      </c>
      <c r="AW26" s="32">
        <v>435.22614127780997</v>
      </c>
      <c r="AX26" s="32">
        <v>5.0000000000004103</v>
      </c>
      <c r="AY26" s="32">
        <v>2.80117037582259E-3</v>
      </c>
      <c r="AZ26" s="32">
        <v>1.9815508166318201E-2</v>
      </c>
      <c r="BA26" s="32">
        <v>3.7432799596881602E-2</v>
      </c>
      <c r="BB26" s="32">
        <v>0.47000623407604097</v>
      </c>
      <c r="BC26" s="32">
        <v>634.50803410647495</v>
      </c>
      <c r="BD26" s="32">
        <v>248.18899051151701</v>
      </c>
      <c r="BE26" s="32">
        <v>166.18288794128699</v>
      </c>
      <c r="BF26" s="32">
        <v>104.329338611596</v>
      </c>
      <c r="BG26" s="32">
        <v>0.52999376592395997</v>
      </c>
      <c r="BH26" s="32">
        <v>27.2448286974466</v>
      </c>
      <c r="BI26" s="32">
        <v>1291.2220059836</v>
      </c>
      <c r="BJ26" s="32">
        <v>702.96504511870899</v>
      </c>
      <c r="BK26" s="32">
        <v>599.42012313178395</v>
      </c>
      <c r="BL26" s="32">
        <v>2.1806555466256101E-2</v>
      </c>
      <c r="BM26" s="32">
        <v>0.465517903866077</v>
      </c>
      <c r="BN26" s="32">
        <v>2145.0315255420801</v>
      </c>
      <c r="BO26" s="32">
        <v>1541.1164506434</v>
      </c>
      <c r="BP26" s="32">
        <v>1357.7595671967999</v>
      </c>
      <c r="BQ26" s="32">
        <v>7.7498462665452503E-2</v>
      </c>
      <c r="BR26" s="32">
        <v>0.53448209613392395</v>
      </c>
      <c r="BS26" s="32">
        <v>6844.6389999999901</v>
      </c>
      <c r="BT26" s="32">
        <v>16.8043682704871</v>
      </c>
      <c r="BU26" s="32">
        <v>-89.743131817341407</v>
      </c>
      <c r="BV26" s="32">
        <v>6.34281092359294</v>
      </c>
      <c r="BW26" s="32">
        <v>121.599999999999</v>
      </c>
      <c r="BX26" s="32">
        <v>124.815</v>
      </c>
      <c r="BY26" s="32">
        <v>127.039999999999</v>
      </c>
      <c r="BZ26" s="32">
        <v>125.04</v>
      </c>
      <c r="CA26" s="32">
        <v>1.3688721334676299</v>
      </c>
      <c r="CB26" s="32">
        <v>-205.017523809523</v>
      </c>
      <c r="CC26" s="32">
        <v>54.29</v>
      </c>
      <c r="CD26" s="32">
        <v>14771.1</v>
      </c>
      <c r="CE26" s="32">
        <v>0.52076806746358795</v>
      </c>
      <c r="CF26" s="32">
        <v>1.2176684903956501</v>
      </c>
      <c r="CG26" s="32">
        <v>1.16542404806809</v>
      </c>
      <c r="CH26" s="32">
        <v>119.14564564237099</v>
      </c>
      <c r="CI26" s="32">
        <v>72.006567901532094</v>
      </c>
      <c r="CJ26" s="32">
        <v>207.272327974159</v>
      </c>
      <c r="CK26" s="32">
        <v>122.689999999999</v>
      </c>
      <c r="CL26" s="32">
        <v>121.208</v>
      </c>
      <c r="CM26" s="32">
        <v>120.05999999999899</v>
      </c>
      <c r="CN26" s="32">
        <v>128</v>
      </c>
      <c r="CO26" s="32">
        <v>124.452</v>
      </c>
      <c r="CP26" s="32">
        <v>122.609999999999</v>
      </c>
      <c r="CQ26" s="32">
        <v>1783.64</v>
      </c>
      <c r="CR26" s="32">
        <v>124.26900000000001</v>
      </c>
      <c r="CS26" s="32">
        <v>1</v>
      </c>
      <c r="CT26" s="32">
        <v>95.919970512800901</v>
      </c>
      <c r="CU26" s="32">
        <v>0.67087497783033601</v>
      </c>
      <c r="CV26" s="32">
        <v>0.411265342951671</v>
      </c>
      <c r="CW26" s="32">
        <v>0.61707988284175097</v>
      </c>
      <c r="CX26" s="32">
        <v>435.22614127780997</v>
      </c>
      <c r="CY26" s="32">
        <v>2.9609999999999901</v>
      </c>
      <c r="CZ26" s="32">
        <v>2539.4199999999901</v>
      </c>
      <c r="DA26" s="32">
        <v>15.8209999999999</v>
      </c>
      <c r="DB26" s="33">
        <v>4.2678106488228901E-11</v>
      </c>
      <c r="DC26" s="33">
        <v>8.7467244207542095E-5</v>
      </c>
      <c r="DD26" s="32">
        <v>19.172999999999998</v>
      </c>
      <c r="DE26" s="32">
        <v>5</v>
      </c>
      <c r="DF26" s="32">
        <v>43.799999999999898</v>
      </c>
      <c r="DG26" s="32">
        <v>15.1</v>
      </c>
      <c r="DH26" s="32">
        <v>0.499999999999999</v>
      </c>
      <c r="DI26" s="32">
        <v>39.1</v>
      </c>
      <c r="DJ26" s="32">
        <v>25.439818761812401</v>
      </c>
      <c r="DK26" s="32">
        <v>5.4420981523650901E-2</v>
      </c>
      <c r="DL26" s="32">
        <v>0.29379941729795001</v>
      </c>
      <c r="DM26" s="32">
        <v>0.95431664512644099</v>
      </c>
      <c r="DN26" s="32">
        <v>-7.5900000000000096</v>
      </c>
      <c r="DO26" s="32">
        <v>58.398000000000003</v>
      </c>
      <c r="DP26" s="32">
        <v>22.38</v>
      </c>
      <c r="DQ26" s="32">
        <v>31.8799999999999</v>
      </c>
      <c r="DR26" s="32">
        <v>-16.5199999999999</v>
      </c>
      <c r="DS26" s="32">
        <v>28.74</v>
      </c>
      <c r="DT26" s="32">
        <v>10.229999999999899</v>
      </c>
      <c r="DU26" s="32">
        <v>10.899999999999901</v>
      </c>
      <c r="DV26" s="32">
        <v>363.1</v>
      </c>
      <c r="DW26" s="32">
        <v>-19.989999999999998</v>
      </c>
      <c r="DX26" s="32">
        <v>-26.639999999999901</v>
      </c>
      <c r="DY26" s="32">
        <v>126.5</v>
      </c>
      <c r="DZ26" s="32">
        <v>-24.1999999999999</v>
      </c>
      <c r="EA26" s="32">
        <v>-82.2</v>
      </c>
      <c r="EB26" s="32">
        <v>1558.42</v>
      </c>
      <c r="EC26" s="32">
        <v>639.91</v>
      </c>
      <c r="ED26" s="32">
        <v>103.849999999999</v>
      </c>
      <c r="EE26" s="32">
        <v>466.3</v>
      </c>
      <c r="EF26" s="32">
        <v>88.179999999999893</v>
      </c>
      <c r="EG26" s="32">
        <v>-85.55</v>
      </c>
      <c r="EH26" s="32">
        <v>-24.06</v>
      </c>
      <c r="EI26" s="32">
        <v>-5.05</v>
      </c>
      <c r="EJ26" s="32">
        <v>-12.489999999999901</v>
      </c>
      <c r="EK26" s="32">
        <v>-604.27999999999895</v>
      </c>
      <c r="EL26" s="32">
        <v>634.50803410647495</v>
      </c>
      <c r="EM26" s="32">
        <v>381.19390574769801</v>
      </c>
      <c r="EN26" s="32">
        <v>0.35519475671630901</v>
      </c>
      <c r="EO26" s="32">
        <v>0.33977865305203703</v>
      </c>
      <c r="EP26" s="32">
        <v>0.22493618709521199</v>
      </c>
      <c r="EQ26" s="32">
        <v>1E-3</v>
      </c>
      <c r="ER26" s="32">
        <v>104.99084377867899</v>
      </c>
      <c r="ES26" s="32">
        <v>389.3929717158</v>
      </c>
      <c r="ET26" s="32">
        <v>1501.518367589</v>
      </c>
      <c r="EU26" s="32">
        <v>168.83882645203801</v>
      </c>
      <c r="EV26" s="32">
        <v>295.59058094831897</v>
      </c>
      <c r="EW26" s="32">
        <v>1261.5268057316</v>
      </c>
      <c r="EX26" s="32">
        <v>15890</v>
      </c>
      <c r="EY26" s="32">
        <v>13.6714305700006</v>
      </c>
      <c r="EZ26" s="32">
        <v>8.2040863037109304</v>
      </c>
      <c r="FA26" s="32">
        <v>6.3918385505676198</v>
      </c>
      <c r="FB26" s="32">
        <v>4</v>
      </c>
      <c r="FC26" s="32">
        <v>0</v>
      </c>
      <c r="FD26" s="32">
        <v>0</v>
      </c>
      <c r="FE26" s="32">
        <v>15</v>
      </c>
      <c r="FF26" s="32">
        <v>1</v>
      </c>
      <c r="FG26" s="32">
        <v>0</v>
      </c>
      <c r="FH26" s="32">
        <v>9</v>
      </c>
      <c r="FI26" s="32">
        <v>1</v>
      </c>
      <c r="FJ26" s="32">
        <v>1</v>
      </c>
      <c r="FK26" s="32">
        <v>89</v>
      </c>
      <c r="FL26" s="32">
        <v>377</v>
      </c>
      <c r="FM26" s="32">
        <v>399</v>
      </c>
      <c r="FN26" s="32">
        <v>113.05</v>
      </c>
      <c r="FO26" s="32">
        <v>738.39999999999895</v>
      </c>
      <c r="FP26" s="32">
        <v>664.9</v>
      </c>
      <c r="FQ26" s="32">
        <v>1090.9000000000001</v>
      </c>
      <c r="FR26" s="32">
        <v>1543.97</v>
      </c>
      <c r="FS26" s="32">
        <v>14.9380389853346</v>
      </c>
      <c r="FT26" s="32">
        <v>94.629999999999896</v>
      </c>
      <c r="FU26" s="32">
        <v>11031</v>
      </c>
      <c r="FV26" s="32">
        <v>1980.0699999999899</v>
      </c>
      <c r="FW26" s="32">
        <v>10395</v>
      </c>
      <c r="FX26" s="33">
        <v>1.32983539804454E-13</v>
      </c>
      <c r="FY26" s="32">
        <v>248.18899051151701</v>
      </c>
      <c r="FZ26" s="32">
        <v>1315.20193252845</v>
      </c>
      <c r="GA26" s="32">
        <v>2174.0413996812799</v>
      </c>
      <c r="GB26" s="32">
        <v>476.58258256948602</v>
      </c>
      <c r="GC26" s="32">
        <v>1080.0985185229799</v>
      </c>
      <c r="GD26" s="32">
        <v>1865.4509517674301</v>
      </c>
      <c r="GE26" s="32">
        <v>121.8</v>
      </c>
      <c r="GF26" s="32">
        <v>135.63</v>
      </c>
      <c r="GG26" s="32">
        <v>139.74</v>
      </c>
      <c r="GH26" s="32">
        <v>256.214</v>
      </c>
      <c r="GI26" s="32">
        <v>3217.0230000000001</v>
      </c>
      <c r="GJ26" s="32">
        <v>3129.3440000000001</v>
      </c>
      <c r="GK26" s="32">
        <v>3627.616</v>
      </c>
      <c r="GL26" s="32">
        <v>242.58099999999899</v>
      </c>
      <c r="GM26" s="32">
        <v>149.25800000000001</v>
      </c>
      <c r="GN26" s="32">
        <v>530.44899999999996</v>
      </c>
      <c r="GO26" s="32">
        <v>-88.72</v>
      </c>
      <c r="GP26" s="32">
        <v>3249.4573883333401</v>
      </c>
      <c r="GQ26" s="32">
        <v>25147.557832091301</v>
      </c>
      <c r="GR26" s="32">
        <v>4.5994717741935096</v>
      </c>
      <c r="GS26" s="32">
        <v>-3.9671783586513798E-2</v>
      </c>
      <c r="GT26" s="32">
        <v>16.962486845881699</v>
      </c>
      <c r="GU26" s="32">
        <v>9.7692663115069003</v>
      </c>
      <c r="GV26" s="32">
        <v>9.64837470296969</v>
      </c>
    </row>
    <row r="27" spans="1:204" x14ac:dyDescent="0.25">
      <c r="A27" s="27" t="s">
        <v>220</v>
      </c>
      <c r="B27" s="28" t="s">
        <v>220</v>
      </c>
      <c r="C27" s="28">
        <v>0.08</v>
      </c>
      <c r="D27" s="28">
        <v>0.02</v>
      </c>
      <c r="E27" s="28">
        <v>0.02</v>
      </c>
      <c r="F27" s="28" t="s">
        <v>220</v>
      </c>
      <c r="G27" s="28">
        <v>0.36</v>
      </c>
      <c r="H27" s="28">
        <v>0.16</v>
      </c>
      <c r="I27" s="28">
        <v>0.02</v>
      </c>
      <c r="J27" s="29" t="s">
        <v>220</v>
      </c>
      <c r="K27" s="30">
        <v>0.08</v>
      </c>
      <c r="L27" s="30">
        <v>0.02</v>
      </c>
      <c r="M27" s="30">
        <v>0.02</v>
      </c>
      <c r="N27" s="29" t="s">
        <v>220</v>
      </c>
      <c r="O27" s="30">
        <v>0.36</v>
      </c>
      <c r="P27" s="30">
        <v>0.25</v>
      </c>
      <c r="Q27" s="30">
        <v>0.14000000000000001</v>
      </c>
      <c r="R27" s="29"/>
      <c r="S27" s="31"/>
      <c r="T27" s="31"/>
      <c r="U27" s="31"/>
      <c r="V27" s="29" t="s">
        <v>220</v>
      </c>
      <c r="W27" s="31">
        <v>0.36</v>
      </c>
      <c r="X27" s="31">
        <v>0.08</v>
      </c>
      <c r="Y27" s="31">
        <v>0.06</v>
      </c>
      <c r="Z27" s="29" t="s">
        <v>220</v>
      </c>
      <c r="AA27" s="29">
        <v>0.37</v>
      </c>
      <c r="AB27" s="29">
        <v>0.46</v>
      </c>
      <c r="AC27" s="29">
        <v>0.39</v>
      </c>
      <c r="AD27" s="28" t="s">
        <v>220</v>
      </c>
      <c r="AE27" s="28">
        <v>0.08</v>
      </c>
      <c r="AF27" s="28">
        <v>0.02</v>
      </c>
      <c r="AG27" s="28">
        <v>0.02</v>
      </c>
      <c r="AH27" s="28" t="s">
        <v>220</v>
      </c>
      <c r="AI27" s="28">
        <v>0.36</v>
      </c>
      <c r="AJ27" s="28">
        <v>0.21</v>
      </c>
      <c r="AK27" s="28">
        <v>0.03</v>
      </c>
      <c r="AL27" s="32" t="s">
        <v>220</v>
      </c>
      <c r="AM27" s="32">
        <v>13</v>
      </c>
      <c r="AN27" s="32">
        <v>-9.7452830188678702E-2</v>
      </c>
      <c r="AO27" s="32">
        <v>3356.5999999999899</v>
      </c>
      <c r="AP27" s="32">
        <v>3396.3899999999899</v>
      </c>
      <c r="AQ27" s="32">
        <v>584.47000000000105</v>
      </c>
      <c r="AR27" s="32">
        <v>282.15829339881799</v>
      </c>
      <c r="AS27" s="32">
        <v>-57.587200000000003</v>
      </c>
      <c r="AT27" s="32">
        <v>86.438399999999902</v>
      </c>
      <c r="AU27" s="32">
        <v>2.34092471455099E-2</v>
      </c>
      <c r="AV27" s="32">
        <v>-614.72180952380904</v>
      </c>
      <c r="AW27" s="32">
        <v>945.82497964924403</v>
      </c>
      <c r="AX27" s="32">
        <v>-9.0000000000245208</v>
      </c>
      <c r="AY27" s="32">
        <v>9.9079267205205495E-4</v>
      </c>
      <c r="AZ27" s="32">
        <v>2.21679963596223E-2</v>
      </c>
      <c r="BA27" s="32">
        <v>4.0051516015008698E-2</v>
      </c>
      <c r="BB27" s="32">
        <v>0.43886811071988402</v>
      </c>
      <c r="BC27" s="32">
        <v>1516.73957097528</v>
      </c>
      <c r="BD27" s="32">
        <v>2307.9926361426601</v>
      </c>
      <c r="BE27" s="32">
        <v>946.516254056967</v>
      </c>
      <c r="BF27" s="32">
        <v>218.35232929862701</v>
      </c>
      <c r="BG27" s="32">
        <v>0.56113188928012003</v>
      </c>
      <c r="BH27" s="32">
        <v>106.883614091235</v>
      </c>
      <c r="BI27" s="32">
        <v>9638.1400189481301</v>
      </c>
      <c r="BJ27" s="32">
        <v>7923.84197104538</v>
      </c>
      <c r="BK27" s="32">
        <v>7055.2888441365903</v>
      </c>
      <c r="BL27" s="32">
        <v>8.2775403005988596E-2</v>
      </c>
      <c r="BM27" s="32">
        <v>0.41733105470223802</v>
      </c>
      <c r="BN27" s="32">
        <v>7998.457448442</v>
      </c>
      <c r="BO27" s="32">
        <v>6163.70717129694</v>
      </c>
      <c r="BP27" s="32">
        <v>5147.63399383045</v>
      </c>
      <c r="BQ27" s="32">
        <v>7.3372592834727607E-2</v>
      </c>
      <c r="BR27" s="32">
        <v>0.58266894529776503</v>
      </c>
      <c r="BS27" s="32">
        <v>26902.701999999801</v>
      </c>
      <c r="BT27" s="32">
        <v>-30.979580246603099</v>
      </c>
      <c r="BU27" s="32">
        <v>-242.82667042085299</v>
      </c>
      <c r="BV27" s="32">
        <v>22.973191031499599</v>
      </c>
      <c r="BW27" s="32">
        <v>614.16999999999905</v>
      </c>
      <c r="BX27" s="32">
        <v>627.529</v>
      </c>
      <c r="BY27" s="32">
        <v>630.25000000000205</v>
      </c>
      <c r="BZ27" s="32">
        <v>573.09</v>
      </c>
      <c r="CA27" s="32">
        <v>-4.4903677337111301</v>
      </c>
      <c r="CB27" s="32">
        <v>-614.72180952380995</v>
      </c>
      <c r="CC27" s="32">
        <v>253.39999999999901</v>
      </c>
      <c r="CD27" s="32">
        <v>73037.600000000006</v>
      </c>
      <c r="CE27" s="32">
        <v>0.49951421086169101</v>
      </c>
      <c r="CF27" s="32">
        <v>1.4341349309690301</v>
      </c>
      <c r="CG27" s="32">
        <v>1.13190638258614</v>
      </c>
      <c r="CH27" s="32">
        <v>163.12663427706801</v>
      </c>
      <c r="CI27" s="32">
        <v>138.62346536706301</v>
      </c>
      <c r="CJ27" s="32">
        <v>169.619042567425</v>
      </c>
      <c r="CK27" s="32">
        <v>561.58000000000197</v>
      </c>
      <c r="CL27" s="32">
        <v>560.98199999999997</v>
      </c>
      <c r="CM27" s="32">
        <v>555.48999999999796</v>
      </c>
      <c r="CN27" s="32">
        <v>555.74999999999898</v>
      </c>
      <c r="CO27" s="32">
        <v>567.96100000000104</v>
      </c>
      <c r="CP27" s="32">
        <v>556.28</v>
      </c>
      <c r="CQ27" s="32">
        <v>8932.0699999999797</v>
      </c>
      <c r="CR27" s="32">
        <v>563.423</v>
      </c>
      <c r="CS27" s="32">
        <v>1</v>
      </c>
      <c r="CT27" s="32">
        <v>95.919970512800901</v>
      </c>
      <c r="CU27" s="32">
        <v>0.22649084252687501</v>
      </c>
      <c r="CV27" s="32">
        <v>0.95783971003160195</v>
      </c>
      <c r="CW27" s="32">
        <v>0.17676251904191301</v>
      </c>
      <c r="CX27" s="32">
        <v>945.82497964924403</v>
      </c>
      <c r="CY27" s="32">
        <v>16.478000000000002</v>
      </c>
      <c r="CZ27" s="32">
        <v>12123.27</v>
      </c>
      <c r="DA27" s="32">
        <v>81.977999999999795</v>
      </c>
      <c r="DB27" s="33">
        <v>7.6176157908806498E-11</v>
      </c>
      <c r="DC27" s="32">
        <v>-1.6154705308714401E-4</v>
      </c>
      <c r="DD27" s="32">
        <v>26.655000000000001</v>
      </c>
      <c r="DE27" s="32">
        <v>-9</v>
      </c>
      <c r="DF27" s="32">
        <v>697.79999999999802</v>
      </c>
      <c r="DG27" s="32">
        <v>1280.3999999999901</v>
      </c>
      <c r="DH27" s="32">
        <v>840.20000000000198</v>
      </c>
      <c r="DI27" s="32">
        <v>0.19999999999996099</v>
      </c>
      <c r="DJ27" s="32">
        <v>45.407535868671602</v>
      </c>
      <c r="DK27" s="32">
        <v>8.0943325977711297E-2</v>
      </c>
      <c r="DL27" s="32">
        <v>0.99671870548479702</v>
      </c>
      <c r="DM27" s="33">
        <v>1.07877420779729E-5</v>
      </c>
      <c r="DN27" s="32">
        <v>137.19999999999899</v>
      </c>
      <c r="DO27" s="32">
        <v>287.40300000000002</v>
      </c>
      <c r="DP27" s="32">
        <v>-9.61</v>
      </c>
      <c r="DQ27" s="32">
        <v>158.88999999999999</v>
      </c>
      <c r="DR27" s="32">
        <v>-50.170000000000101</v>
      </c>
      <c r="DS27" s="32">
        <v>184.79999999999899</v>
      </c>
      <c r="DT27" s="32">
        <v>15.7799999999999</v>
      </c>
      <c r="DU27" s="32">
        <v>163.49999999999901</v>
      </c>
      <c r="DV27" s="32">
        <v>1063.5999999999899</v>
      </c>
      <c r="DW27" s="32">
        <v>25.57</v>
      </c>
      <c r="DX27" s="32">
        <v>-86.000000000000497</v>
      </c>
      <c r="DY27" s="32">
        <v>921.199999999998</v>
      </c>
      <c r="DZ27" s="32">
        <v>-122.6</v>
      </c>
      <c r="EA27" s="32">
        <v>-272.19999999999902</v>
      </c>
      <c r="EB27" s="32">
        <v>7442.2299999999896</v>
      </c>
      <c r="EC27" s="32">
        <v>3146.49999999999</v>
      </c>
      <c r="ED27" s="32">
        <v>480.45</v>
      </c>
      <c r="EE27" s="32">
        <v>2484.1999999999898</v>
      </c>
      <c r="EF27" s="32">
        <v>418.32</v>
      </c>
      <c r="EG27" s="32">
        <v>-370.15</v>
      </c>
      <c r="EH27" s="32">
        <v>-66.750000000000099</v>
      </c>
      <c r="EI27" s="32">
        <v>40.06</v>
      </c>
      <c r="EJ27" s="32">
        <v>65.969999999999899</v>
      </c>
      <c r="EK27" s="32">
        <v>-2667.0799999999899</v>
      </c>
      <c r="EL27" s="32">
        <v>1516.73957097528</v>
      </c>
      <c r="EM27" s="32">
        <v>1147.8614784573001</v>
      </c>
      <c r="EN27" s="32">
        <v>5.6857115006633396</v>
      </c>
      <c r="EO27" s="32">
        <v>4.4872317832914197</v>
      </c>
      <c r="EP27" s="32">
        <v>5.6483508943029701</v>
      </c>
      <c r="EQ27" s="32">
        <v>1E-3</v>
      </c>
      <c r="ER27" s="32">
        <v>381.58482949704398</v>
      </c>
      <c r="ES27" s="32">
        <v>1672.1022569647</v>
      </c>
      <c r="ET27" s="32">
        <v>1357.76706979146</v>
      </c>
      <c r="EU27" s="32">
        <v>687.84714670720803</v>
      </c>
      <c r="EV27" s="32">
        <v>1197.0492095673901</v>
      </c>
      <c r="EW27" s="32">
        <v>1131.92777181367</v>
      </c>
      <c r="EX27" s="32">
        <v>76738</v>
      </c>
      <c r="EY27" s="32">
        <v>66.285208439996595</v>
      </c>
      <c r="EZ27" s="32">
        <v>-2.85929203033447</v>
      </c>
      <c r="FA27" s="32">
        <v>-3.7049498558044398</v>
      </c>
      <c r="FB27" s="32">
        <v>29</v>
      </c>
      <c r="FC27" s="32">
        <v>3</v>
      </c>
      <c r="FD27" s="32">
        <v>1</v>
      </c>
      <c r="FE27" s="32">
        <v>49</v>
      </c>
      <c r="FF27" s="32">
        <v>8</v>
      </c>
      <c r="FG27" s="32">
        <v>2</v>
      </c>
      <c r="FH27" s="32">
        <v>42</v>
      </c>
      <c r="FI27" s="32">
        <v>6</v>
      </c>
      <c r="FJ27" s="32">
        <v>4</v>
      </c>
      <c r="FK27" s="32">
        <v>534</v>
      </c>
      <c r="FL27" s="32">
        <v>1891</v>
      </c>
      <c r="FM27" s="32">
        <v>1894</v>
      </c>
      <c r="FN27" s="32">
        <v>546.82999999999902</v>
      </c>
      <c r="FO27" s="32">
        <v>3341.6</v>
      </c>
      <c r="FP27" s="32">
        <v>3204.6999999999898</v>
      </c>
      <c r="FQ27" s="32">
        <v>5072.1000000000004</v>
      </c>
      <c r="FR27" s="32">
        <v>10393.859999999901</v>
      </c>
      <c r="FS27" s="32">
        <v>26.531329791539399</v>
      </c>
      <c r="FT27" s="32">
        <v>373.82999999999902</v>
      </c>
      <c r="FU27" s="32">
        <v>50281</v>
      </c>
      <c r="FV27" s="32">
        <v>10065.57</v>
      </c>
      <c r="FW27" s="32">
        <v>42837</v>
      </c>
      <c r="FX27" s="33">
        <v>3.6123234659932702E-13</v>
      </c>
      <c r="FY27" s="32">
        <v>2363.03808775158</v>
      </c>
      <c r="FZ27" s="32">
        <v>9741.4329428092406</v>
      </c>
      <c r="GA27" s="32">
        <v>8063.7008293892104</v>
      </c>
      <c r="GB27" s="32">
        <v>4730.6723940349902</v>
      </c>
      <c r="GC27" s="32">
        <v>6792.5498029861301</v>
      </c>
      <c r="GD27" s="32">
        <v>7123.99978783187</v>
      </c>
      <c r="GE27" s="32">
        <v>565.75</v>
      </c>
      <c r="GF27" s="32">
        <v>596.37900000000002</v>
      </c>
      <c r="GG27" s="32">
        <v>629.77199999999903</v>
      </c>
      <c r="GH27" s="32">
        <v>1077.4939999999999</v>
      </c>
      <c r="GI27" s="32">
        <v>11806.737999999899</v>
      </c>
      <c r="GJ27" s="32">
        <v>11385.940999999901</v>
      </c>
      <c r="GK27" s="32">
        <v>15095.9639999999</v>
      </c>
      <c r="GL27" s="32">
        <v>801.06500000000199</v>
      </c>
      <c r="GM27" s="32">
        <v>2226.8820000000001</v>
      </c>
      <c r="GN27" s="32">
        <v>1973.92099999999</v>
      </c>
      <c r="GO27" s="32">
        <v>-449.10999999999802</v>
      </c>
      <c r="GP27" s="32">
        <v>12643.955978333201</v>
      </c>
      <c r="GQ27" s="32">
        <v>125598.248201808</v>
      </c>
      <c r="GR27" s="32">
        <v>10.8173404802764</v>
      </c>
      <c r="GS27" s="32">
        <v>-1.4475605827640501</v>
      </c>
      <c r="GT27" s="32">
        <v>-31.258210887147001</v>
      </c>
      <c r="GU27" s="32">
        <v>5.7408536001307704</v>
      </c>
      <c r="GV27" s="32">
        <v>5.7132970989086296</v>
      </c>
    </row>
    <row r="28" spans="1:204" x14ac:dyDescent="0.25">
      <c r="A28" s="27" t="s">
        <v>221</v>
      </c>
      <c r="B28" s="28" t="s">
        <v>221</v>
      </c>
      <c r="C28" s="28">
        <v>0.14000000000000001</v>
      </c>
      <c r="D28" s="28">
        <v>0.02</v>
      </c>
      <c r="E28" s="28">
        <v>0.02</v>
      </c>
      <c r="F28" s="28" t="s">
        <v>221</v>
      </c>
      <c r="G28" s="28">
        <v>0.36</v>
      </c>
      <c r="H28" s="28">
        <v>0.2</v>
      </c>
      <c r="I28" s="28">
        <v>0.02</v>
      </c>
      <c r="J28" s="29" t="s">
        <v>221</v>
      </c>
      <c r="K28" s="30">
        <v>0.14000000000000001</v>
      </c>
      <c r="L28" s="30">
        <v>0.12</v>
      </c>
      <c r="M28" s="30">
        <v>0.11</v>
      </c>
      <c r="N28" s="29" t="s">
        <v>221</v>
      </c>
      <c r="O28" s="30">
        <v>0.36</v>
      </c>
      <c r="P28" s="30">
        <v>0.27</v>
      </c>
      <c r="Q28" s="30">
        <v>0.24</v>
      </c>
      <c r="R28" s="29"/>
      <c r="S28" s="31"/>
      <c r="T28" s="31"/>
      <c r="U28" s="31"/>
      <c r="V28" s="35" t="s">
        <v>221</v>
      </c>
      <c r="W28" s="31">
        <v>0.35</v>
      </c>
      <c r="X28" s="31">
        <v>0.14000000000000001</v>
      </c>
      <c r="Y28" s="31">
        <v>0.14000000000000001</v>
      </c>
      <c r="Z28" s="29" t="s">
        <v>221</v>
      </c>
      <c r="AA28" s="29">
        <v>0.36</v>
      </c>
      <c r="AB28" s="29">
        <v>0.34</v>
      </c>
      <c r="AC28" s="29">
        <v>0.28000000000000003</v>
      </c>
      <c r="AD28" s="28" t="s">
        <v>221</v>
      </c>
      <c r="AE28" s="28">
        <v>0.14000000000000001</v>
      </c>
      <c r="AF28" s="28">
        <v>0.11</v>
      </c>
      <c r="AG28" s="28">
        <v>0.08</v>
      </c>
      <c r="AH28" s="28" t="s">
        <v>221</v>
      </c>
      <c r="AI28" s="28">
        <v>0.36</v>
      </c>
      <c r="AJ28" s="28">
        <v>0.32</v>
      </c>
      <c r="AK28" s="28">
        <v>0.19</v>
      </c>
      <c r="AL28" s="32" t="s">
        <v>221</v>
      </c>
      <c r="AM28" s="32">
        <v>8</v>
      </c>
      <c r="AN28" s="32">
        <v>3.9629107981220602E-2</v>
      </c>
      <c r="AO28" s="32">
        <v>1214</v>
      </c>
      <c r="AP28" s="32">
        <v>1217.6599999999901</v>
      </c>
      <c r="AQ28" s="32">
        <v>213.17999999999901</v>
      </c>
      <c r="AR28" s="32">
        <v>97.267006647330504</v>
      </c>
      <c r="AS28" s="32">
        <v>7.0953999999999899</v>
      </c>
      <c r="AT28" s="32">
        <v>40.5154</v>
      </c>
      <c r="AU28" s="32">
        <v>2.4783619249175201E-2</v>
      </c>
      <c r="AV28" s="32">
        <v>-441.27800000000002</v>
      </c>
      <c r="AW28" s="32">
        <v>699.32213624393705</v>
      </c>
      <c r="AX28" s="32">
        <v>-4.9999999999991802</v>
      </c>
      <c r="AY28" s="32">
        <v>4.6200214365294196E-3</v>
      </c>
      <c r="AZ28" s="32">
        <v>1.9835838300020701E-2</v>
      </c>
      <c r="BA28" s="32">
        <v>3.4593166302269197E-2</v>
      </c>
      <c r="BB28" s="32">
        <v>0.450921977817202</v>
      </c>
      <c r="BC28" s="32">
        <v>399.644434899869</v>
      </c>
      <c r="BD28" s="32">
        <v>806.33663101904699</v>
      </c>
      <c r="BE28" s="32">
        <v>581.27263431455901</v>
      </c>
      <c r="BF28" s="32">
        <v>275.00534229801599</v>
      </c>
      <c r="BG28" s="32">
        <v>0.549078022182799</v>
      </c>
      <c r="BH28" s="32">
        <v>37.450137135867401</v>
      </c>
      <c r="BI28" s="32">
        <v>2292.3895527264299</v>
      </c>
      <c r="BJ28" s="32">
        <v>1265.5220912172001</v>
      </c>
      <c r="BK28" s="32">
        <v>1175.3050071702701</v>
      </c>
      <c r="BL28" s="32">
        <v>3.9511871810787601E-2</v>
      </c>
      <c r="BM28" s="32">
        <v>0.45380441127298898</v>
      </c>
      <c r="BN28" s="32">
        <v>1987.85636775528</v>
      </c>
      <c r="BO28" s="32">
        <v>1467.4165405481101</v>
      </c>
      <c r="BP28" s="32">
        <v>1289.4328015393901</v>
      </c>
      <c r="BQ28" s="32">
        <v>5.4975931262134098E-2</v>
      </c>
      <c r="BR28" s="32">
        <v>0.54609184226837804</v>
      </c>
      <c r="BS28" s="32">
        <v>9079.8279999999795</v>
      </c>
      <c r="BT28" s="32">
        <v>-16.857605543699499</v>
      </c>
      <c r="BU28" s="32">
        <v>-59.391186323397299</v>
      </c>
      <c r="BV28" s="32">
        <v>33.074832902061303</v>
      </c>
      <c r="BW28" s="32">
        <v>203.069999999999</v>
      </c>
      <c r="BX28" s="32">
        <v>205.62599999999901</v>
      </c>
      <c r="BY28" s="32">
        <v>209.71</v>
      </c>
      <c r="BZ28" s="32">
        <v>214.88</v>
      </c>
      <c r="CA28" s="32">
        <v>-1.5441167523754999</v>
      </c>
      <c r="CB28" s="32">
        <v>-441.277999999999</v>
      </c>
      <c r="CC28" s="32">
        <v>94.31</v>
      </c>
      <c r="CD28" s="32">
        <v>25697.200000000001</v>
      </c>
      <c r="CE28" s="32">
        <v>0.58198998775192001</v>
      </c>
      <c r="CF28" s="32">
        <v>1.1925536717999401</v>
      </c>
      <c r="CG28" s="32">
        <v>1.07361899016304</v>
      </c>
      <c r="CH28" s="32">
        <v>138.54819635879301</v>
      </c>
      <c r="CI28" s="32">
        <v>122.72975434439</v>
      </c>
      <c r="CJ28" s="32">
        <v>81.714551131038704</v>
      </c>
      <c r="CK28" s="32">
        <v>219.48999999999899</v>
      </c>
      <c r="CL28" s="32">
        <v>215.18299999999999</v>
      </c>
      <c r="CM28" s="32">
        <v>209.73999999999899</v>
      </c>
      <c r="CN28" s="32">
        <v>220.48</v>
      </c>
      <c r="CO28" s="32">
        <v>217.01499999999999</v>
      </c>
      <c r="CP28" s="32">
        <v>216.04999999999899</v>
      </c>
      <c r="CQ28" s="32">
        <v>3121.33</v>
      </c>
      <c r="CR28" s="32">
        <v>216.15100000000001</v>
      </c>
      <c r="CS28" s="32">
        <v>1</v>
      </c>
      <c r="CT28" s="32">
        <v>95.919970512800901</v>
      </c>
      <c r="CU28" s="32">
        <v>3.0258171716840501E-2</v>
      </c>
      <c r="CV28" s="32">
        <v>3.3909900348607303E-2</v>
      </c>
      <c r="CW28" s="32">
        <v>0.99896674704551602</v>
      </c>
      <c r="CX28" s="32">
        <v>699.32213624393705</v>
      </c>
      <c r="CY28" s="32">
        <v>-6.2649999999999899</v>
      </c>
      <c r="CZ28" s="32">
        <v>4451.3</v>
      </c>
      <c r="DA28" s="32">
        <v>13.765999999999901</v>
      </c>
      <c r="DB28" s="33">
        <v>4.6295365880815298E-11</v>
      </c>
      <c r="DC28" s="33">
        <v>-8.7765842708936105E-5</v>
      </c>
      <c r="DD28" s="32">
        <v>41.948999999999998</v>
      </c>
      <c r="DE28" s="32">
        <v>-5</v>
      </c>
      <c r="DF28" s="32">
        <v>425.2</v>
      </c>
      <c r="DG28" s="32">
        <v>450.5</v>
      </c>
      <c r="DH28" s="32">
        <v>361.79999999999899</v>
      </c>
      <c r="DI28" s="32">
        <v>324.49999999999898</v>
      </c>
      <c r="DJ28" s="32">
        <v>27.596016187938702</v>
      </c>
      <c r="DK28" s="32">
        <v>0.356165419830413</v>
      </c>
      <c r="DL28" s="32">
        <v>0.48303475428357401</v>
      </c>
      <c r="DM28" s="32">
        <v>0.79988975482327096</v>
      </c>
      <c r="DN28" s="32">
        <v>90.249999999999901</v>
      </c>
      <c r="DO28" s="32">
        <v>116.095</v>
      </c>
      <c r="DP28" s="32">
        <v>-3.2299999999999902</v>
      </c>
      <c r="DQ28" s="32">
        <v>64.489999999999995</v>
      </c>
      <c r="DR28" s="32">
        <v>27.48</v>
      </c>
      <c r="DS28" s="32">
        <v>97.58</v>
      </c>
      <c r="DT28" s="32">
        <v>-15.8599999999999</v>
      </c>
      <c r="DU28" s="32">
        <v>-47.299999999999898</v>
      </c>
      <c r="DV28" s="32">
        <v>319.5</v>
      </c>
      <c r="DW28" s="32">
        <v>45.67</v>
      </c>
      <c r="DX28" s="32">
        <v>22.84</v>
      </c>
      <c r="DY28" s="32">
        <v>443.3</v>
      </c>
      <c r="DZ28" s="32">
        <v>-3.9999999999999898</v>
      </c>
      <c r="EA28" s="32">
        <v>-5.4999999999999902</v>
      </c>
      <c r="EB28" s="32">
        <v>2760.45</v>
      </c>
      <c r="EC28" s="32">
        <v>1187.25</v>
      </c>
      <c r="ED28" s="32">
        <v>194.75</v>
      </c>
      <c r="EE28" s="32">
        <v>982.70000000000095</v>
      </c>
      <c r="EF28" s="32">
        <v>156.51999999999899</v>
      </c>
      <c r="EG28" s="32">
        <v>-47.7</v>
      </c>
      <c r="EH28" s="32">
        <v>-13.66</v>
      </c>
      <c r="EI28" s="32">
        <v>59.339999999999797</v>
      </c>
      <c r="EJ28" s="32">
        <v>-71.66</v>
      </c>
      <c r="EK28" s="32">
        <v>-682.16</v>
      </c>
      <c r="EL28" s="32">
        <v>399.644434899869</v>
      </c>
      <c r="EM28" s="32">
        <v>191.336930356865</v>
      </c>
      <c r="EN28" s="32">
        <v>0.66366051204370302</v>
      </c>
      <c r="EO28" s="32">
        <v>0.63233402564555197</v>
      </c>
      <c r="EP28" s="32">
        <v>0.66496869782510903</v>
      </c>
      <c r="EQ28" s="32">
        <v>1E-3</v>
      </c>
      <c r="ER28" s="32">
        <v>206.734795309437</v>
      </c>
      <c r="ES28" s="32">
        <v>595.48491599157103</v>
      </c>
      <c r="ET28" s="32">
        <v>374.48763080275302</v>
      </c>
      <c r="EU28" s="32">
        <v>351.78333478651598</v>
      </c>
      <c r="EV28" s="32">
        <v>421.79479210270398</v>
      </c>
      <c r="EW28" s="32">
        <v>306.96935117341599</v>
      </c>
      <c r="EX28" s="32">
        <v>26591</v>
      </c>
      <c r="EY28" s="32">
        <v>22.783995379998</v>
      </c>
      <c r="EZ28" s="32">
        <v>-2.7239739894866899</v>
      </c>
      <c r="FA28" s="32">
        <v>-2.47325110435485</v>
      </c>
      <c r="FB28" s="32">
        <v>10</v>
      </c>
      <c r="FC28" s="32">
        <v>2</v>
      </c>
      <c r="FD28" s="32">
        <v>0</v>
      </c>
      <c r="FE28" s="32">
        <v>16</v>
      </c>
      <c r="FF28" s="32">
        <v>2</v>
      </c>
      <c r="FG28" s="32">
        <v>0</v>
      </c>
      <c r="FH28" s="32">
        <v>23</v>
      </c>
      <c r="FI28" s="32">
        <v>2</v>
      </c>
      <c r="FJ28" s="32">
        <v>0</v>
      </c>
      <c r="FK28" s="32">
        <v>159</v>
      </c>
      <c r="FL28" s="32">
        <v>468</v>
      </c>
      <c r="FM28" s="32">
        <v>717</v>
      </c>
      <c r="FN28" s="32">
        <v>222.88999999999899</v>
      </c>
      <c r="FO28" s="32">
        <v>1183.7</v>
      </c>
      <c r="FP28" s="32">
        <v>1408</v>
      </c>
      <c r="FQ28" s="32">
        <v>1771.5</v>
      </c>
      <c r="FR28" s="32">
        <v>2002.36</v>
      </c>
      <c r="FS28" s="32">
        <v>16.793095476602399</v>
      </c>
      <c r="FT28" s="32">
        <v>143.91999999999899</v>
      </c>
      <c r="FU28" s="32">
        <v>18758</v>
      </c>
      <c r="FV28" s="32">
        <v>3276.38</v>
      </c>
      <c r="FW28" s="32">
        <v>16220</v>
      </c>
      <c r="FX28" s="33">
        <v>2.0430614702022499E-13</v>
      </c>
      <c r="FY28" s="32">
        <v>806.33663101904699</v>
      </c>
      <c r="FZ28" s="32">
        <v>2341.78910692012</v>
      </c>
      <c r="GA28" s="32">
        <v>2017.79675893943</v>
      </c>
      <c r="GB28" s="32">
        <v>1385.4819635879301</v>
      </c>
      <c r="GC28" s="32">
        <v>1963.67606951024</v>
      </c>
      <c r="GD28" s="32">
        <v>1879.4346760138901</v>
      </c>
      <c r="GE28" s="32">
        <v>216.6</v>
      </c>
      <c r="GF28" s="32">
        <v>180.10599999999999</v>
      </c>
      <c r="GG28" s="32">
        <v>225.03100000000001</v>
      </c>
      <c r="GH28" s="32">
        <v>314.10000000000002</v>
      </c>
      <c r="GI28" s="32">
        <v>4094.2939999999999</v>
      </c>
      <c r="GJ28" s="32">
        <v>3953.8690000000001</v>
      </c>
      <c r="GK28" s="32">
        <v>4985.5339999999896</v>
      </c>
      <c r="GL28" s="32">
        <v>433.42599999999999</v>
      </c>
      <c r="GM28" s="32">
        <v>358.76100000000002</v>
      </c>
      <c r="GN28" s="32">
        <v>499.17200000000003</v>
      </c>
      <c r="GO28" s="32">
        <v>-74.119999999999905</v>
      </c>
      <c r="GP28" s="32">
        <v>4298.5490083333298</v>
      </c>
      <c r="GQ28" s="32">
        <v>43113.044091074204</v>
      </c>
      <c r="GR28" s="32">
        <v>7.2579624413144801</v>
      </c>
      <c r="GS28" s="32">
        <v>0.146614901503516</v>
      </c>
      <c r="GT28" s="32">
        <v>-17.015279786242701</v>
      </c>
      <c r="GU28" s="32">
        <v>5.3193242155691998</v>
      </c>
      <c r="GV28" s="32">
        <v>4.9097190600319403</v>
      </c>
    </row>
    <row r="29" spans="1:204" x14ac:dyDescent="0.25">
      <c r="A29" s="37" t="s">
        <v>222</v>
      </c>
      <c r="B29" s="28" t="s">
        <v>222</v>
      </c>
      <c r="C29" s="28">
        <v>0.15</v>
      </c>
      <c r="D29" s="28">
        <v>7.0000000000000007E-2</v>
      </c>
      <c r="E29" s="28">
        <v>0.02</v>
      </c>
      <c r="F29" s="28" t="s">
        <v>222</v>
      </c>
      <c r="G29" s="28">
        <v>0.56999999999999995</v>
      </c>
      <c r="H29" s="28">
        <v>0.26</v>
      </c>
      <c r="I29" s="28">
        <v>0.03</v>
      </c>
      <c r="J29" s="29" t="s">
        <v>222</v>
      </c>
      <c r="K29" s="30">
        <v>0.15</v>
      </c>
      <c r="L29" s="30">
        <v>0.02</v>
      </c>
      <c r="M29" s="30">
        <v>0.02</v>
      </c>
      <c r="N29" s="29" t="s">
        <v>222</v>
      </c>
      <c r="O29" s="30">
        <v>0.56999999999999995</v>
      </c>
      <c r="P29" s="30">
        <v>0.49</v>
      </c>
      <c r="Q29" s="30">
        <v>0.39</v>
      </c>
      <c r="R29" s="29" t="s">
        <v>222</v>
      </c>
      <c r="S29" s="31">
        <v>1.0900000000000001</v>
      </c>
      <c r="T29" s="31">
        <v>0.17</v>
      </c>
      <c r="U29" s="31">
        <v>0.17</v>
      </c>
      <c r="V29" s="35" t="s">
        <v>222</v>
      </c>
      <c r="W29" s="31">
        <v>0.56000000000000005</v>
      </c>
      <c r="X29" s="31">
        <v>0.14000000000000001</v>
      </c>
      <c r="Y29" s="31">
        <v>0.14000000000000001</v>
      </c>
      <c r="Z29" s="35" t="s">
        <v>222</v>
      </c>
      <c r="AA29" s="29">
        <v>0.56000000000000005</v>
      </c>
      <c r="AB29" s="29">
        <v>0.46</v>
      </c>
      <c r="AC29" s="29">
        <v>0.41</v>
      </c>
      <c r="AD29" s="28" t="s">
        <v>222</v>
      </c>
      <c r="AE29" s="28">
        <v>0.15</v>
      </c>
      <c r="AF29" s="28">
        <v>0.02</v>
      </c>
      <c r="AG29" s="28">
        <v>0.02</v>
      </c>
      <c r="AH29" s="28" t="s">
        <v>222</v>
      </c>
      <c r="AI29" s="28">
        <v>0.56999999999999995</v>
      </c>
      <c r="AJ29" s="28">
        <v>0.22</v>
      </c>
      <c r="AK29" s="28">
        <v>0.19</v>
      </c>
      <c r="AL29" s="32" t="s">
        <v>222</v>
      </c>
      <c r="AM29" s="32">
        <v>2</v>
      </c>
      <c r="AN29" s="32">
        <v>-0.121571428571428</v>
      </c>
      <c r="AO29" s="32">
        <v>411.19999999999902</v>
      </c>
      <c r="AP29" s="32">
        <v>419.479999999999</v>
      </c>
      <c r="AQ29" s="32">
        <v>70.601999999999904</v>
      </c>
      <c r="AR29" s="32">
        <v>13.7064921139139</v>
      </c>
      <c r="AS29" s="32">
        <v>-9.9987999999999992</v>
      </c>
      <c r="AT29" s="32">
        <v>10.218400000000001</v>
      </c>
      <c r="AU29" s="32">
        <v>2.2493055968305802E-2</v>
      </c>
      <c r="AV29" s="32">
        <v>-109.472666666666</v>
      </c>
      <c r="AW29" s="32">
        <v>276.52020116259501</v>
      </c>
      <c r="AX29" s="32">
        <v>-1.9999999999995901</v>
      </c>
      <c r="AY29" s="32">
        <v>0</v>
      </c>
      <c r="AZ29" s="32">
        <v>1.85397163961925E-2</v>
      </c>
      <c r="BA29" s="32">
        <v>4.7709582462948E-2</v>
      </c>
      <c r="BB29" s="32">
        <v>0.49832772942014603</v>
      </c>
      <c r="BC29" s="32">
        <v>265.552543614174</v>
      </c>
      <c r="BD29" s="32">
        <v>213.45240130138899</v>
      </c>
      <c r="BE29" s="32">
        <v>165.76910205585301</v>
      </c>
      <c r="BF29" s="32">
        <v>45.845903073512702</v>
      </c>
      <c r="BG29" s="32">
        <v>0.50167227057985198</v>
      </c>
      <c r="BH29" s="32">
        <v>0.193153792941271</v>
      </c>
      <c r="BI29" s="32">
        <v>1327.0918441644801</v>
      </c>
      <c r="BJ29" s="32">
        <v>1047.40465255959</v>
      </c>
      <c r="BK29" s="32">
        <v>898.57125821771399</v>
      </c>
      <c r="BL29" s="32">
        <v>5.6608386450794197E-2</v>
      </c>
      <c r="BM29" s="32">
        <v>0.47530552415979099</v>
      </c>
      <c r="BN29" s="32">
        <v>994.530264582065</v>
      </c>
      <c r="BO29" s="32">
        <v>688.30477886023596</v>
      </c>
      <c r="BP29" s="32">
        <v>651.10056718958697</v>
      </c>
      <c r="BQ29" s="32">
        <v>6.9203535265911206E-2</v>
      </c>
      <c r="BR29" s="32">
        <v>0.521378088599178</v>
      </c>
      <c r="BS29" s="32">
        <v>4155.7269999999999</v>
      </c>
      <c r="BT29" s="32">
        <v>-6.6899697649847703</v>
      </c>
      <c r="BU29" s="32">
        <v>-53.7907600126143</v>
      </c>
      <c r="BV29" s="32">
        <v>17.671286660359499</v>
      </c>
      <c r="BW29" s="32">
        <v>72.809999999999903</v>
      </c>
      <c r="BX29" s="32">
        <v>72.205999999999904</v>
      </c>
      <c r="BY29" s="32">
        <v>73.449999999999903</v>
      </c>
      <c r="BZ29" s="32">
        <v>70.69</v>
      </c>
      <c r="CA29" s="32">
        <v>-0.42998668022764303</v>
      </c>
      <c r="CB29" s="32">
        <v>-109.472666666666</v>
      </c>
      <c r="CC29" s="32">
        <v>31.81</v>
      </c>
      <c r="CD29" s="32">
        <v>8646.2000000000007</v>
      </c>
      <c r="CE29" s="32">
        <v>0.52405881197892001</v>
      </c>
      <c r="CF29" s="32">
        <v>1.3729872035967601</v>
      </c>
      <c r="CG29" s="32">
        <v>1.1098328845769501</v>
      </c>
      <c r="CH29" s="32">
        <v>203.653098108743</v>
      </c>
      <c r="CI29" s="32">
        <v>138.08180343538999</v>
      </c>
      <c r="CJ29" s="32">
        <v>112.856182004903</v>
      </c>
      <c r="CK29" s="32">
        <v>70.479999999999905</v>
      </c>
      <c r="CL29" s="32">
        <v>71.085999999999999</v>
      </c>
      <c r="CM29" s="32">
        <v>69.7</v>
      </c>
      <c r="CN29" s="32">
        <v>66.150000000000006</v>
      </c>
      <c r="CO29" s="32">
        <v>66.691999999999993</v>
      </c>
      <c r="CP29" s="32">
        <v>67.809999999999903</v>
      </c>
      <c r="CQ29" s="32">
        <v>1091.83</v>
      </c>
      <c r="CR29" s="32">
        <v>68.870999999999995</v>
      </c>
      <c r="CS29" s="32">
        <v>1</v>
      </c>
      <c r="CT29" s="32">
        <v>95.919970512800901</v>
      </c>
      <c r="CU29" s="32">
        <v>2.6397626548714899E-3</v>
      </c>
      <c r="CV29" s="32">
        <v>0.76917237151177997</v>
      </c>
      <c r="CW29" s="32">
        <v>0.63903591022419803</v>
      </c>
      <c r="CX29" s="32">
        <v>276.52020116259501</v>
      </c>
      <c r="CY29" s="32">
        <v>3.5790000000000002</v>
      </c>
      <c r="CZ29" s="32">
        <v>1442.3099999999899</v>
      </c>
      <c r="DA29" s="32">
        <v>8.7749999999999897</v>
      </c>
      <c r="DB29" s="33">
        <v>3.1724379462222603E-11</v>
      </c>
      <c r="DC29" s="33">
        <v>-3.48087841688833E-5</v>
      </c>
      <c r="DD29" s="32">
        <v>0</v>
      </c>
      <c r="DE29" s="32">
        <v>-2</v>
      </c>
      <c r="DF29" s="32">
        <v>122.299999999999</v>
      </c>
      <c r="DG29" s="32">
        <v>162.99999999999901</v>
      </c>
      <c r="DH29" s="32">
        <v>177.39999999999901</v>
      </c>
      <c r="DI29" s="32">
        <v>78</v>
      </c>
      <c r="DJ29" s="32">
        <v>18.910456209497099</v>
      </c>
      <c r="DK29" s="32">
        <v>0.17666558738236601</v>
      </c>
      <c r="DL29" s="32">
        <v>0.756847773139814</v>
      </c>
      <c r="DM29" s="32">
        <v>0.62926204281535003</v>
      </c>
      <c r="DN29" s="32">
        <v>16.0399999999999</v>
      </c>
      <c r="DO29" s="32">
        <v>34.238</v>
      </c>
      <c r="DP29" s="32">
        <v>-3.59</v>
      </c>
      <c r="DQ29" s="32">
        <v>18.959999999999901</v>
      </c>
      <c r="DR29" s="32">
        <v>-4.25</v>
      </c>
      <c r="DS29" s="32">
        <v>20.6</v>
      </c>
      <c r="DT29" s="32">
        <v>7.13</v>
      </c>
      <c r="DU29" s="32">
        <v>18.399999999999899</v>
      </c>
      <c r="DV29" s="32">
        <v>126.7</v>
      </c>
      <c r="DW29" s="32">
        <v>3.28</v>
      </c>
      <c r="DX29" s="32">
        <v>-9.4399999999999906</v>
      </c>
      <c r="DY29" s="32">
        <v>80.799999999999898</v>
      </c>
      <c r="DZ29" s="32">
        <v>-16.899999999999899</v>
      </c>
      <c r="EA29" s="32">
        <v>-35</v>
      </c>
      <c r="EB29" s="32">
        <v>892.04</v>
      </c>
      <c r="EC29" s="32">
        <v>373.01</v>
      </c>
      <c r="ED29" s="32">
        <v>56.709999999999901</v>
      </c>
      <c r="EE29" s="32">
        <v>318.7</v>
      </c>
      <c r="EF29" s="32">
        <v>49.579999999999899</v>
      </c>
      <c r="EG29" s="32">
        <v>-45.38</v>
      </c>
      <c r="EH29" s="32">
        <v>-8.7799999999999994</v>
      </c>
      <c r="EI29" s="32">
        <v>5.97</v>
      </c>
      <c r="EJ29" s="32">
        <v>-17.34</v>
      </c>
      <c r="EK29" s="32">
        <v>-314.38</v>
      </c>
      <c r="EL29" s="32">
        <v>265.552543614174</v>
      </c>
      <c r="EM29" s="32">
        <v>180.782818819656</v>
      </c>
      <c r="EN29" s="32">
        <v>0.105415287078133</v>
      </c>
      <c r="EO29" s="32">
        <v>0.106892238074124</v>
      </c>
      <c r="EP29" s="32">
        <v>0.102922415743309</v>
      </c>
      <c r="EQ29" s="32">
        <v>1E-3</v>
      </c>
      <c r="ER29" s="32">
        <v>139.03585982340101</v>
      </c>
      <c r="ES29" s="32">
        <v>756.9583819142</v>
      </c>
      <c r="ET29" s="32">
        <v>453.83337513163798</v>
      </c>
      <c r="EU29" s="32">
        <v>263.04593982452099</v>
      </c>
      <c r="EV29" s="32">
        <v>493.056917343328</v>
      </c>
      <c r="EW29" s="32">
        <v>373.34589596926799</v>
      </c>
      <c r="EX29" s="32">
        <v>9145</v>
      </c>
      <c r="EY29" s="32">
        <v>7.8941057499998104</v>
      </c>
      <c r="EZ29" s="32">
        <v>-0.106061175465583</v>
      </c>
      <c r="FA29" s="32">
        <v>-0.31412917375564497</v>
      </c>
      <c r="FB29" s="32">
        <v>2</v>
      </c>
      <c r="FC29" s="32">
        <v>1</v>
      </c>
      <c r="FD29" s="32">
        <v>0</v>
      </c>
      <c r="FE29" s="32">
        <v>7</v>
      </c>
      <c r="FF29" s="32">
        <v>1</v>
      </c>
      <c r="FG29" s="32">
        <v>0</v>
      </c>
      <c r="FH29" s="32">
        <v>8</v>
      </c>
      <c r="FI29" s="32">
        <v>1</v>
      </c>
      <c r="FJ29" s="32">
        <v>0</v>
      </c>
      <c r="FK29" s="32">
        <v>53</v>
      </c>
      <c r="FL29" s="32">
        <v>368</v>
      </c>
      <c r="FM29" s="32">
        <v>234</v>
      </c>
      <c r="FN29" s="32">
        <v>70.94</v>
      </c>
      <c r="FO29" s="32">
        <v>414.599999999999</v>
      </c>
      <c r="FP29" s="32">
        <v>391.599999999999</v>
      </c>
      <c r="FQ29" s="32">
        <v>616.099999999999</v>
      </c>
      <c r="FR29" s="32">
        <v>1105.3900000000001</v>
      </c>
      <c r="FS29" s="32">
        <v>11.7907735373084</v>
      </c>
      <c r="FT29" s="32">
        <v>38.169999999999902</v>
      </c>
      <c r="FU29" s="32">
        <v>6096</v>
      </c>
      <c r="FV29" s="32">
        <v>1089.75999999999</v>
      </c>
      <c r="FW29" s="32">
        <v>5624</v>
      </c>
      <c r="FX29" s="33">
        <v>1.0329965580504001E-13</v>
      </c>
      <c r="FY29" s="32">
        <v>213.45240130138899</v>
      </c>
      <c r="FZ29" s="32">
        <v>1327.0918441644801</v>
      </c>
      <c r="GA29" s="32">
        <v>1002.01201613475</v>
      </c>
      <c r="GB29" s="32">
        <v>407.30619621748701</v>
      </c>
      <c r="GC29" s="32">
        <v>966.57262404773098</v>
      </c>
      <c r="GD29" s="32">
        <v>902.84945603923097</v>
      </c>
      <c r="GE29" s="32">
        <v>70.66</v>
      </c>
      <c r="GF29" s="32">
        <v>77.045999999999907</v>
      </c>
      <c r="GG29" s="32">
        <v>93.474999999999994</v>
      </c>
      <c r="GH29" s="32">
        <v>198.268</v>
      </c>
      <c r="GI29" s="32">
        <v>2070.9139999999902</v>
      </c>
      <c r="GJ29" s="32">
        <v>2023.3820000000001</v>
      </c>
      <c r="GK29" s="32">
        <v>2084.8129999999901</v>
      </c>
      <c r="GL29" s="32">
        <v>117.891999999999</v>
      </c>
      <c r="GM29" s="32">
        <v>235.249</v>
      </c>
      <c r="GN29" s="32">
        <v>287.59100000000001</v>
      </c>
      <c r="GO29" s="32">
        <v>-48.76</v>
      </c>
      <c r="GP29" s="32">
        <v>1975.9895999999901</v>
      </c>
      <c r="GQ29" s="32">
        <v>15192.921271299499</v>
      </c>
      <c r="GR29" s="32">
        <v>6.2123457142856804</v>
      </c>
      <c r="GS29" s="32">
        <v>1.89493093661303</v>
      </c>
      <c r="GT29" s="32">
        <v>-6.7534858787226097</v>
      </c>
      <c r="GU29" s="32">
        <v>5.7491365140673203</v>
      </c>
      <c r="GV29" s="32">
        <v>5.8711331425410602</v>
      </c>
    </row>
    <row r="30" spans="1:204" x14ac:dyDescent="0.25">
      <c r="AL30" s="26" t="s">
        <v>25</v>
      </c>
      <c r="AM30" s="26" t="s">
        <v>27</v>
      </c>
      <c r="AN30" s="26" t="s">
        <v>28</v>
      </c>
      <c r="AO30" s="26" t="s">
        <v>223</v>
      </c>
      <c r="AP30" s="26" t="s">
        <v>224</v>
      </c>
      <c r="AQ30" s="26" t="s">
        <v>225</v>
      </c>
      <c r="AR30" s="26" t="s">
        <v>226</v>
      </c>
      <c r="AS30" s="26" t="s">
        <v>227</v>
      </c>
      <c r="AT30" s="26" t="s">
        <v>228</v>
      </c>
      <c r="AU30" s="26" t="s">
        <v>229</v>
      </c>
      <c r="AV30" s="26" t="s">
        <v>230</v>
      </c>
      <c r="AW30" s="26" t="s">
        <v>231</v>
      </c>
      <c r="AX30" s="26" t="s">
        <v>232</v>
      </c>
      <c r="AY30" s="26" t="s">
        <v>233</v>
      </c>
      <c r="AZ30" s="26" t="s">
        <v>234</v>
      </c>
      <c r="BA30" s="26" t="s">
        <v>235</v>
      </c>
      <c r="BB30" s="26" t="s">
        <v>236</v>
      </c>
      <c r="BC30" s="26" t="s">
        <v>237</v>
      </c>
      <c r="BD30" s="26" t="s">
        <v>238</v>
      </c>
      <c r="BE30" s="26" t="s">
        <v>239</v>
      </c>
      <c r="BF30" s="26" t="s">
        <v>240</v>
      </c>
      <c r="BG30" s="26" t="s">
        <v>241</v>
      </c>
      <c r="BH30" s="26" t="s">
        <v>242</v>
      </c>
      <c r="BI30" s="26" t="s">
        <v>243</v>
      </c>
      <c r="BJ30" s="26" t="s">
        <v>244</v>
      </c>
      <c r="BK30" s="26" t="s">
        <v>245</v>
      </c>
      <c r="BL30" s="26" t="s">
        <v>246</v>
      </c>
      <c r="BM30" s="26" t="s">
        <v>247</v>
      </c>
      <c r="BN30" s="26" t="s">
        <v>248</v>
      </c>
      <c r="BO30" s="26" t="s">
        <v>249</v>
      </c>
      <c r="BP30" s="26" t="s">
        <v>250</v>
      </c>
      <c r="BQ30" s="26" t="s">
        <v>251</v>
      </c>
      <c r="BR30" s="26" t="s">
        <v>252</v>
      </c>
      <c r="BS30" s="26" t="s">
        <v>253</v>
      </c>
      <c r="BT30" s="26" t="s">
        <v>254</v>
      </c>
      <c r="BU30" s="26" t="s">
        <v>255</v>
      </c>
      <c r="BV30" s="26" t="s">
        <v>256</v>
      </c>
      <c r="BW30" s="26" t="s">
        <v>257</v>
      </c>
      <c r="BX30" s="26" t="s">
        <v>258</v>
      </c>
      <c r="BY30" s="26" t="s">
        <v>259</v>
      </c>
      <c r="BZ30" s="26" t="s">
        <v>260</v>
      </c>
      <c r="CA30" s="26" t="s">
        <v>261</v>
      </c>
      <c r="CB30" s="26" t="s">
        <v>262</v>
      </c>
      <c r="CC30" s="26" t="s">
        <v>263</v>
      </c>
      <c r="CD30" s="26" t="s">
        <v>264</v>
      </c>
      <c r="CE30" s="26" t="s">
        <v>265</v>
      </c>
      <c r="CF30" s="26" t="s">
        <v>266</v>
      </c>
      <c r="CG30" s="26" t="s">
        <v>267</v>
      </c>
      <c r="CH30" s="26" t="s">
        <v>268</v>
      </c>
      <c r="CI30" s="26" t="s">
        <v>269</v>
      </c>
      <c r="CJ30" s="26" t="s">
        <v>270</v>
      </c>
      <c r="CK30" s="26" t="s">
        <v>271</v>
      </c>
      <c r="CL30" s="26" t="s">
        <v>272</v>
      </c>
      <c r="CM30" s="26" t="s">
        <v>273</v>
      </c>
      <c r="CN30" s="26" t="s">
        <v>274</v>
      </c>
      <c r="CO30" s="26" t="s">
        <v>275</v>
      </c>
      <c r="CP30" s="26" t="s">
        <v>276</v>
      </c>
      <c r="CQ30" s="26" t="s">
        <v>277</v>
      </c>
      <c r="CR30" s="26" t="s">
        <v>278</v>
      </c>
      <c r="CS30" s="26" t="s">
        <v>279</v>
      </c>
      <c r="CT30" s="26" t="s">
        <v>280</v>
      </c>
      <c r="CU30" s="26" t="s">
        <v>281</v>
      </c>
      <c r="CV30" s="26" t="s">
        <v>282</v>
      </c>
      <c r="CW30" s="26" t="s">
        <v>283</v>
      </c>
      <c r="CX30" s="26" t="s">
        <v>284</v>
      </c>
      <c r="CY30" s="26" t="s">
        <v>285</v>
      </c>
      <c r="CZ30" s="26" t="s">
        <v>286</v>
      </c>
      <c r="DA30" s="26" t="s">
        <v>287</v>
      </c>
      <c r="DB30" s="26" t="s">
        <v>288</v>
      </c>
      <c r="DC30" s="26" t="s">
        <v>289</v>
      </c>
      <c r="DD30" s="26" t="s">
        <v>290</v>
      </c>
      <c r="DE30" s="26" t="s">
        <v>291</v>
      </c>
      <c r="DF30" s="26" t="s">
        <v>292</v>
      </c>
      <c r="DG30" s="26" t="s">
        <v>293</v>
      </c>
      <c r="DH30" s="26" t="s">
        <v>294</v>
      </c>
      <c r="DI30" s="26" t="s">
        <v>295</v>
      </c>
      <c r="DJ30" s="26" t="s">
        <v>296</v>
      </c>
      <c r="DK30" s="26" t="s">
        <v>297</v>
      </c>
      <c r="DL30" s="26" t="s">
        <v>298</v>
      </c>
      <c r="DM30" s="26" t="s">
        <v>299</v>
      </c>
      <c r="DN30" s="26" t="s">
        <v>300</v>
      </c>
      <c r="DO30" s="26" t="s">
        <v>301</v>
      </c>
      <c r="DP30" s="26" t="s">
        <v>302</v>
      </c>
      <c r="DQ30" s="26" t="s">
        <v>303</v>
      </c>
      <c r="DR30" s="26" t="s">
        <v>304</v>
      </c>
      <c r="DS30" s="26" t="s">
        <v>305</v>
      </c>
      <c r="DT30" s="26" t="s">
        <v>306</v>
      </c>
      <c r="DU30" s="26" t="s">
        <v>307</v>
      </c>
      <c r="DV30" s="26" t="s">
        <v>308</v>
      </c>
      <c r="DW30" s="26" t="s">
        <v>309</v>
      </c>
      <c r="DX30" s="26" t="s">
        <v>310</v>
      </c>
      <c r="DY30" s="26" t="s">
        <v>311</v>
      </c>
      <c r="DZ30" s="26" t="s">
        <v>312</v>
      </c>
      <c r="EA30" s="26" t="s">
        <v>313</v>
      </c>
      <c r="EB30" s="26" t="s">
        <v>314</v>
      </c>
      <c r="EC30" s="26" t="s">
        <v>315</v>
      </c>
      <c r="ED30" s="26" t="s">
        <v>316</v>
      </c>
      <c r="EE30" s="26" t="s">
        <v>317</v>
      </c>
      <c r="EF30" s="26" t="s">
        <v>318</v>
      </c>
      <c r="EG30" s="26" t="s">
        <v>319</v>
      </c>
      <c r="EH30" s="26" t="s">
        <v>320</v>
      </c>
      <c r="EI30" s="26" t="s">
        <v>321</v>
      </c>
      <c r="EJ30" s="26" t="s">
        <v>322</v>
      </c>
      <c r="EK30" s="26" t="s">
        <v>323</v>
      </c>
      <c r="EL30" s="26" t="s">
        <v>324</v>
      </c>
      <c r="EM30" s="26" t="s">
        <v>325</v>
      </c>
      <c r="EN30" s="26" t="s">
        <v>326</v>
      </c>
      <c r="EO30" s="26" t="s">
        <v>327</v>
      </c>
      <c r="EP30" s="26" t="s">
        <v>328</v>
      </c>
      <c r="EQ30" s="26" t="s">
        <v>329</v>
      </c>
      <c r="ER30" s="26" t="s">
        <v>330</v>
      </c>
      <c r="ES30" s="26" t="s">
        <v>331</v>
      </c>
      <c r="ET30" s="26" t="s">
        <v>332</v>
      </c>
      <c r="EU30" s="26" t="s">
        <v>333</v>
      </c>
      <c r="EV30" s="26" t="s">
        <v>334</v>
      </c>
      <c r="EW30" s="26" t="s">
        <v>335</v>
      </c>
      <c r="EX30" s="26" t="s">
        <v>336</v>
      </c>
      <c r="EY30" s="26" t="s">
        <v>337</v>
      </c>
      <c r="EZ30" s="26" t="s">
        <v>338</v>
      </c>
      <c r="FA30" s="26" t="s">
        <v>339</v>
      </c>
      <c r="FB30" s="26" t="s">
        <v>340</v>
      </c>
      <c r="FC30" s="26" t="s">
        <v>341</v>
      </c>
      <c r="FD30" s="26" t="s">
        <v>342</v>
      </c>
      <c r="FE30" s="26" t="s">
        <v>343</v>
      </c>
      <c r="FF30" s="26" t="s">
        <v>344</v>
      </c>
      <c r="FG30" s="26" t="s">
        <v>345</v>
      </c>
      <c r="FH30" s="26" t="s">
        <v>346</v>
      </c>
      <c r="FI30" s="26" t="s">
        <v>347</v>
      </c>
      <c r="FJ30" s="26" t="s">
        <v>348</v>
      </c>
      <c r="FK30" s="26" t="s">
        <v>349</v>
      </c>
      <c r="FL30" s="26" t="s">
        <v>350</v>
      </c>
      <c r="FM30" s="26" t="s">
        <v>351</v>
      </c>
      <c r="FN30" s="26" t="s">
        <v>352</v>
      </c>
      <c r="FO30" s="26" t="s">
        <v>353</v>
      </c>
      <c r="FP30" s="26" t="s">
        <v>354</v>
      </c>
      <c r="FQ30" s="26" t="s">
        <v>355</v>
      </c>
      <c r="FR30" s="26" t="s">
        <v>356</v>
      </c>
      <c r="FS30" s="26" t="s">
        <v>357</v>
      </c>
      <c r="FT30" s="26" t="s">
        <v>358</v>
      </c>
      <c r="FU30" s="26" t="s">
        <v>359</v>
      </c>
      <c r="FV30" s="26" t="s">
        <v>360</v>
      </c>
      <c r="FW30" s="26" t="s">
        <v>361</v>
      </c>
      <c r="FX30" s="26" t="s">
        <v>362</v>
      </c>
      <c r="FY30" s="26" t="s">
        <v>363</v>
      </c>
      <c r="FZ30" s="26" t="s">
        <v>364</v>
      </c>
      <c r="GA30" s="26" t="s">
        <v>365</v>
      </c>
      <c r="GB30" s="26" t="s">
        <v>366</v>
      </c>
      <c r="GC30" s="26" t="s">
        <v>367</v>
      </c>
      <c r="GD30" s="26" t="s">
        <v>368</v>
      </c>
      <c r="GE30" s="26" t="s">
        <v>369</v>
      </c>
      <c r="GF30" s="26" t="s">
        <v>370</v>
      </c>
      <c r="GG30" s="26" t="s">
        <v>371</v>
      </c>
      <c r="GH30" s="26" t="s">
        <v>372</v>
      </c>
      <c r="GI30" s="26" t="s">
        <v>373</v>
      </c>
      <c r="GJ30" s="26" t="s">
        <v>374</v>
      </c>
      <c r="GK30" s="26" t="s">
        <v>375</v>
      </c>
      <c r="GL30" s="26" t="s">
        <v>376</v>
      </c>
      <c r="GM30" s="26" t="s">
        <v>377</v>
      </c>
      <c r="GN30" s="26" t="s">
        <v>378</v>
      </c>
      <c r="GO30" s="26" t="s">
        <v>379</v>
      </c>
      <c r="GP30" s="26" t="s">
        <v>380</v>
      </c>
      <c r="GQ30" s="26" t="s">
        <v>381</v>
      </c>
      <c r="GR30" s="26" t="s">
        <v>382</v>
      </c>
      <c r="GS30" s="26" t="s">
        <v>383</v>
      </c>
      <c r="GT30" s="26" t="s">
        <v>384</v>
      </c>
      <c r="GU30" s="26" t="s">
        <v>385</v>
      </c>
      <c r="GV30" s="26" t="s">
        <v>386</v>
      </c>
    </row>
    <row r="31" spans="1:204" s="38" customFormat="1" ht="28.5" x14ac:dyDescent="0.45">
      <c r="C31" s="38">
        <v>1</v>
      </c>
      <c r="G31" s="38">
        <v>2</v>
      </c>
      <c r="K31" s="38">
        <v>3</v>
      </c>
      <c r="O31" s="38">
        <v>4</v>
      </c>
      <c r="S31" s="38">
        <v>5</v>
      </c>
      <c r="W31" s="38">
        <v>6</v>
      </c>
      <c r="AA31" s="38">
        <v>7</v>
      </c>
      <c r="AE31" s="38">
        <v>8</v>
      </c>
      <c r="AI31" s="38">
        <v>9</v>
      </c>
      <c r="AL31" s="38" t="s">
        <v>196</v>
      </c>
      <c r="AM31" s="38">
        <v>9</v>
      </c>
      <c r="AN31" s="38">
        <v>6.7521008403361199E-2</v>
      </c>
      <c r="AO31" s="38">
        <v>1405.29999999999</v>
      </c>
      <c r="AP31" s="38">
        <v>1398.6599999999901</v>
      </c>
      <c r="AQ31" s="38">
        <v>237.94999999999899</v>
      </c>
      <c r="AR31" s="38">
        <v>85.597230966431894</v>
      </c>
      <c r="AS31" s="38">
        <v>15.5899999999999</v>
      </c>
      <c r="AT31" s="38">
        <v>49.069799999999901</v>
      </c>
      <c r="AU31" s="38">
        <v>1.83405531674782E-2</v>
      </c>
      <c r="AV31" s="38">
        <v>-529.66571428571399</v>
      </c>
      <c r="AW31" s="38">
        <v>496.85701480889003</v>
      </c>
      <c r="AX31" s="38">
        <v>4.0000000000013598</v>
      </c>
      <c r="AY31" s="38">
        <v>5.3963829440143501E-3</v>
      </c>
      <c r="AZ31" s="38">
        <v>1.9725740627495599E-2</v>
      </c>
      <c r="BA31" s="38">
        <v>3.2633173745360899E-2</v>
      </c>
      <c r="BB31" s="38">
        <v>0.45516539094585301</v>
      </c>
      <c r="BC31" s="38">
        <v>536.26738454472002</v>
      </c>
      <c r="BD31" s="38">
        <v>781.54710624706297</v>
      </c>
      <c r="BE31" s="38">
        <v>583.67962100469197</v>
      </c>
      <c r="BF31" s="38">
        <v>223.97772125304499</v>
      </c>
      <c r="BG31" s="38">
        <v>0.54483460905414904</v>
      </c>
      <c r="BH31" s="38">
        <v>5.2113084950718704</v>
      </c>
      <c r="BI31" s="38">
        <v>1898.51943984889</v>
      </c>
      <c r="BJ31" s="38">
        <v>919.94191378924995</v>
      </c>
      <c r="BK31" s="38">
        <v>691.07399542719497</v>
      </c>
      <c r="BL31" s="38">
        <v>1.8679924591629801E-2</v>
      </c>
      <c r="BM31" s="38">
        <v>0.45415611343663698</v>
      </c>
      <c r="BN31" s="38">
        <v>2769.0189206019099</v>
      </c>
      <c r="BO31" s="38">
        <v>2015.7552008091</v>
      </c>
      <c r="BP31" s="38">
        <v>1721.1565226191501</v>
      </c>
      <c r="BQ31" s="38">
        <v>7.10726966753219E-2</v>
      </c>
      <c r="BR31" s="38">
        <v>0.54438194833948905</v>
      </c>
      <c r="BS31" s="38">
        <v>10071.5609999999</v>
      </c>
      <c r="BT31" s="38">
        <v>13.4931592511844</v>
      </c>
      <c r="BU31" s="38">
        <v>-92.102062580569097</v>
      </c>
      <c r="BV31" s="38">
        <v>19.037037719107399</v>
      </c>
      <c r="BW31" s="38">
        <v>229.85999999999899</v>
      </c>
      <c r="BX31" s="38">
        <v>230.95999999999901</v>
      </c>
      <c r="BY31" s="38">
        <v>233.52999999999901</v>
      </c>
      <c r="BZ31" s="38">
        <v>245.92</v>
      </c>
      <c r="CA31" s="38">
        <v>1.25757961192755</v>
      </c>
      <c r="CB31" s="38">
        <v>-529.66571428571399</v>
      </c>
      <c r="CC31" s="38">
        <v>104.46</v>
      </c>
      <c r="CD31" s="38">
        <v>28211.299999999901</v>
      </c>
      <c r="CE31" s="38">
        <v>0.57104846891560201</v>
      </c>
      <c r="CF31" s="38">
        <v>1.1050566013251999</v>
      </c>
      <c r="CG31" s="38">
        <v>1.0986620962691001</v>
      </c>
      <c r="CH31" s="38">
        <v>116.433881826532</v>
      </c>
      <c r="CI31" s="38">
        <v>97.208331766227502</v>
      </c>
      <c r="CJ31" s="38">
        <v>157.52221099218599</v>
      </c>
      <c r="CK31" s="38">
        <v>247.18</v>
      </c>
      <c r="CL31" s="38">
        <v>246.904</v>
      </c>
      <c r="CM31" s="38">
        <v>239.65</v>
      </c>
      <c r="CN31" s="38">
        <v>242.1</v>
      </c>
      <c r="CO31" s="38">
        <v>236.46799999999999</v>
      </c>
      <c r="CP31" s="38">
        <v>238.01999999999899</v>
      </c>
      <c r="CQ31" s="38">
        <v>3478.81</v>
      </c>
      <c r="CR31" s="38">
        <v>239.83</v>
      </c>
      <c r="CS31" s="38">
        <v>1</v>
      </c>
      <c r="CT31" s="38">
        <v>95.919970512800901</v>
      </c>
      <c r="CU31" s="38">
        <v>0.14673509821602199</v>
      </c>
      <c r="CV31" s="38">
        <v>0.98783688238900103</v>
      </c>
      <c r="CW31" s="38">
        <v>5.1450021802831397E-2</v>
      </c>
      <c r="CX31" s="38">
        <v>496.85701480889003</v>
      </c>
      <c r="CY31" s="38">
        <v>-6.5379999999999896</v>
      </c>
      <c r="CZ31" s="38">
        <v>4951.6499999999996</v>
      </c>
      <c r="DA31" s="38">
        <v>14.6489999999999</v>
      </c>
      <c r="DB31" s="39">
        <v>4.7481756909214201E-11</v>
      </c>
      <c r="DC31" s="39">
        <v>7.0252363129505406E-5</v>
      </c>
      <c r="DD31" s="38">
        <v>54.35</v>
      </c>
      <c r="DE31" s="38">
        <v>4</v>
      </c>
      <c r="DF31" s="38">
        <v>457.5</v>
      </c>
      <c r="DG31" s="38">
        <v>580.5</v>
      </c>
      <c r="DH31" s="38">
        <v>455.599999999999</v>
      </c>
      <c r="DI31" s="38">
        <v>481.29999999999899</v>
      </c>
      <c r="DJ31" s="38">
        <v>28.303207186476399</v>
      </c>
      <c r="DK31" s="38">
        <v>0.21524852866065999</v>
      </c>
      <c r="DL31" s="38">
        <v>2.0645702952834901E-4</v>
      </c>
      <c r="DM31" s="38">
        <v>0.97655928047656904</v>
      </c>
      <c r="DN31" s="38">
        <v>79.009999999999806</v>
      </c>
      <c r="DO31" s="38">
        <v>130.74299999999999</v>
      </c>
      <c r="DP31" s="38">
        <v>2.6</v>
      </c>
      <c r="DQ31" s="38">
        <v>72.06</v>
      </c>
      <c r="DR31" s="38">
        <v>36.229999999999897</v>
      </c>
      <c r="DS31" s="38">
        <v>108.32</v>
      </c>
      <c r="DT31" s="38">
        <v>-14.4399999999999</v>
      </c>
      <c r="DU31" s="38">
        <v>-64.299999999999898</v>
      </c>
      <c r="DV31" s="38">
        <v>382.599999999999</v>
      </c>
      <c r="DW31" s="38">
        <v>43.769999999999897</v>
      </c>
      <c r="DX31" s="38">
        <v>27.47</v>
      </c>
      <c r="DY31" s="38">
        <v>404.19999999999902</v>
      </c>
      <c r="DZ31" s="38">
        <v>-5.0999999999999899</v>
      </c>
      <c r="EA31" s="38">
        <v>19.399999999999999</v>
      </c>
      <c r="EB31" s="38">
        <v>3062.4</v>
      </c>
      <c r="EC31" s="38">
        <v>1309.77</v>
      </c>
      <c r="ED31" s="38">
        <v>229.29</v>
      </c>
      <c r="EE31" s="38">
        <v>1117.7</v>
      </c>
      <c r="EF31" s="38">
        <v>174.069999999999</v>
      </c>
      <c r="EG31" s="38">
        <v>-53.51</v>
      </c>
      <c r="EH31" s="38">
        <v>-18.46</v>
      </c>
      <c r="EI31" s="38">
        <v>68.539999999999907</v>
      </c>
      <c r="EJ31" s="38">
        <v>-64.050000000000097</v>
      </c>
      <c r="EK31" s="38">
        <v>-709.51999999999896</v>
      </c>
      <c r="EL31" s="38">
        <v>536.26738454472002</v>
      </c>
      <c r="EM31" s="38">
        <v>307.65898005740502</v>
      </c>
      <c r="EN31" s="38">
        <v>0.79426655535929103</v>
      </c>
      <c r="EO31" s="38">
        <v>0.65831391873850298</v>
      </c>
      <c r="EP31" s="38">
        <v>0.75998113865506001</v>
      </c>
      <c r="EQ31" s="38">
        <v>1E-3</v>
      </c>
      <c r="ER31" s="38">
        <v>115.856006718256</v>
      </c>
      <c r="ES31" s="38">
        <v>637.88861949881095</v>
      </c>
      <c r="ET31" s="38">
        <v>1174.4619094483</v>
      </c>
      <c r="EU31" s="38">
        <v>199.435297679325</v>
      </c>
      <c r="EV31" s="38">
        <v>559.58690943383897</v>
      </c>
      <c r="EW31" s="38">
        <v>1001.39415138161</v>
      </c>
      <c r="EX31" s="38">
        <v>29191</v>
      </c>
      <c r="EY31" s="38">
        <v>24.964603289997701</v>
      </c>
      <c r="EZ31" s="38">
        <v>7.1872420310974103</v>
      </c>
      <c r="FA31" s="38">
        <v>8.07415771484375</v>
      </c>
      <c r="FB31" s="38">
        <v>12</v>
      </c>
      <c r="FC31" s="38">
        <v>0</v>
      </c>
      <c r="FD31" s="38">
        <v>0</v>
      </c>
      <c r="FE31" s="38">
        <v>18</v>
      </c>
      <c r="FF31" s="38">
        <v>2</v>
      </c>
      <c r="FG31" s="38">
        <v>1</v>
      </c>
      <c r="FH31" s="38">
        <v>16</v>
      </c>
      <c r="FI31" s="38">
        <v>2</v>
      </c>
      <c r="FJ31" s="38">
        <v>1</v>
      </c>
      <c r="FK31" s="38">
        <v>167</v>
      </c>
      <c r="FL31" s="38">
        <v>948</v>
      </c>
      <c r="FM31" s="38">
        <v>850</v>
      </c>
      <c r="FN31" s="38">
        <v>245.409999999999</v>
      </c>
      <c r="FO31" s="38">
        <v>1408.7</v>
      </c>
      <c r="FP31" s="38">
        <v>1644.1</v>
      </c>
      <c r="FQ31" s="38">
        <v>1962.9</v>
      </c>
      <c r="FR31" s="38">
        <v>1872.03</v>
      </c>
      <c r="FS31" s="38">
        <v>17.0864051482238</v>
      </c>
      <c r="FT31" s="38">
        <v>152.60999999999899</v>
      </c>
      <c r="FU31" s="38">
        <v>21254</v>
      </c>
      <c r="FV31" s="38">
        <v>3457.91</v>
      </c>
      <c r="FW31" s="38">
        <v>18607</v>
      </c>
      <c r="FX31" s="39">
        <v>2.1826643713464999E-13</v>
      </c>
      <c r="FY31" s="38">
        <v>797.87267936329602</v>
      </c>
      <c r="FZ31" s="38">
        <v>1933.5727569974299</v>
      </c>
      <c r="GA31" s="38">
        <v>2769.0189206019099</v>
      </c>
      <c r="GB31" s="38">
        <v>1397.2065819183799</v>
      </c>
      <c r="GC31" s="38">
        <v>1749.74997179209</v>
      </c>
      <c r="GD31" s="38">
        <v>2520.3553758749799</v>
      </c>
      <c r="GE31" s="38">
        <v>245.38999999999899</v>
      </c>
      <c r="GF31" s="38">
        <v>198.66900000000001</v>
      </c>
      <c r="GG31" s="38">
        <v>184.71799999999999</v>
      </c>
      <c r="GH31" s="38">
        <v>328.66699999999997</v>
      </c>
      <c r="GI31" s="38">
        <v>4584.2259999999997</v>
      </c>
      <c r="GJ31" s="38">
        <v>4425.87</v>
      </c>
      <c r="GK31" s="38">
        <v>5487.335</v>
      </c>
      <c r="GL31" s="38">
        <v>385.16899999999998</v>
      </c>
      <c r="GM31" s="38">
        <v>188.136</v>
      </c>
      <c r="GN31" s="38">
        <v>715.81299999999999</v>
      </c>
      <c r="GO31" s="38">
        <v>-60.099999999999902</v>
      </c>
      <c r="GP31" s="38">
        <v>4754.8400149999998</v>
      </c>
      <c r="GQ31" s="38">
        <v>47412.728415706799</v>
      </c>
      <c r="GR31" s="38">
        <v>2.7087474789914801</v>
      </c>
      <c r="GS31" s="38">
        <v>-2.0013467995894398</v>
      </c>
      <c r="GT31" s="38">
        <v>13.619239894896801</v>
      </c>
      <c r="GU31" s="38">
        <v>9.1645767752232992</v>
      </c>
      <c r="GV31" s="38">
        <v>9.0597668348779798</v>
      </c>
    </row>
    <row r="32" spans="1:204" x14ac:dyDescent="0.25">
      <c r="AL32" s="26" t="s">
        <v>197</v>
      </c>
      <c r="AM32" s="26">
        <v>9</v>
      </c>
      <c r="AN32" s="26">
        <v>5.5616326530612201E-2</v>
      </c>
      <c r="AO32" s="26">
        <v>1451.19999999999</v>
      </c>
      <c r="AP32" s="26">
        <v>1443.4399999999901</v>
      </c>
      <c r="AQ32" s="26">
        <v>245.045999999999</v>
      </c>
      <c r="AR32" s="26">
        <v>113.083723848128</v>
      </c>
      <c r="AS32" s="26">
        <v>13.146000000000001</v>
      </c>
      <c r="AT32" s="26">
        <v>48.258799999999901</v>
      </c>
      <c r="AU32" s="26">
        <v>1.63251741463784E-2</v>
      </c>
      <c r="AV32" s="26">
        <v>-501.53447619047603</v>
      </c>
      <c r="AW32" s="26">
        <v>446.67485347331899</v>
      </c>
      <c r="AX32" s="26">
        <v>6.0000000000012896</v>
      </c>
      <c r="AY32" s="26">
        <v>5.0259074907738604E-3</v>
      </c>
      <c r="AZ32" s="26">
        <v>1.96792576022022E-2</v>
      </c>
      <c r="BA32" s="26">
        <v>3.3294239807988998E-2</v>
      </c>
      <c r="BB32" s="26">
        <v>0.44294809993715401</v>
      </c>
      <c r="BC32" s="26">
        <v>677.327828137545</v>
      </c>
      <c r="BD32" s="26">
        <v>892.22462209276898</v>
      </c>
      <c r="BE32" s="26">
        <v>672.83159513919702</v>
      </c>
      <c r="BF32" s="26">
        <v>340.33310928302598</v>
      </c>
      <c r="BG32" s="26">
        <v>0.55705190006284899</v>
      </c>
      <c r="BH32" s="26">
        <v>35.366554798619902</v>
      </c>
      <c r="BI32" s="26">
        <v>1922.2593937414099</v>
      </c>
      <c r="BJ32" s="26">
        <v>817.418794054866</v>
      </c>
      <c r="BK32" s="26">
        <v>519.51762498711901</v>
      </c>
      <c r="BL32" s="26">
        <v>1.8471103147209001E-2</v>
      </c>
      <c r="BM32" s="26">
        <v>0.446207230782321</v>
      </c>
      <c r="BN32" s="26">
        <v>2893.67288340801</v>
      </c>
      <c r="BO32" s="26">
        <v>1980.6660763269499</v>
      </c>
      <c r="BP32" s="26">
        <v>1682.0088648369899</v>
      </c>
      <c r="BQ32" s="26">
        <v>6.7717099507985795E-2</v>
      </c>
      <c r="BR32" s="26">
        <v>0.55379276921768195</v>
      </c>
      <c r="BS32" s="26">
        <v>10636.8849999999</v>
      </c>
      <c r="BT32" s="26">
        <v>20.249451955292201</v>
      </c>
      <c r="BU32" s="26">
        <v>-96.640637945318701</v>
      </c>
      <c r="BV32" s="26">
        <v>19.5825363948396</v>
      </c>
      <c r="BW32" s="26">
        <v>235.659999999999</v>
      </c>
      <c r="BX32" s="26">
        <v>236.96499999999901</v>
      </c>
      <c r="BY32" s="26">
        <v>239.70999999999901</v>
      </c>
      <c r="BZ32" s="26">
        <v>252.42</v>
      </c>
      <c r="CA32" s="26">
        <v>1.9166351477397301</v>
      </c>
      <c r="CB32" s="26">
        <v>-501.53447619047603</v>
      </c>
      <c r="CC32" s="26">
        <v>107.82</v>
      </c>
      <c r="CD32" s="26">
        <v>28981.499999999902</v>
      </c>
      <c r="CE32" s="26">
        <v>0.58116983592779403</v>
      </c>
      <c r="CF32" s="26">
        <v>1.07482058717725</v>
      </c>
      <c r="CG32" s="26">
        <v>1.0924796394392999</v>
      </c>
      <c r="CH32" s="26">
        <v>128.697948031799</v>
      </c>
      <c r="CI32" s="26">
        <v>83.708048626083297</v>
      </c>
      <c r="CJ32" s="26">
        <v>165.88599677008301</v>
      </c>
      <c r="CK32" s="26">
        <v>253.74</v>
      </c>
      <c r="CL32" s="26">
        <v>253.423</v>
      </c>
      <c r="CM32" s="26">
        <v>246.45</v>
      </c>
      <c r="CN32" s="26">
        <v>250.58</v>
      </c>
      <c r="CO32" s="26">
        <v>244.85300000000001</v>
      </c>
      <c r="CP32" s="26">
        <v>246.07999999999899</v>
      </c>
      <c r="CQ32" s="26">
        <v>3565.42</v>
      </c>
      <c r="CR32" s="26">
        <v>247.35900000000001</v>
      </c>
      <c r="CS32" s="26">
        <v>1</v>
      </c>
      <c r="CT32" s="26">
        <v>95.919970512800901</v>
      </c>
      <c r="CU32" s="26">
        <v>0.74318196530840896</v>
      </c>
      <c r="CV32" s="26">
        <v>0.27102080062971301</v>
      </c>
      <c r="CW32" s="26">
        <v>0.61174201430534303</v>
      </c>
      <c r="CX32" s="26">
        <v>446.67485347331899</v>
      </c>
      <c r="CY32" s="26">
        <v>-6.3119999999999896</v>
      </c>
      <c r="CZ32" s="26">
        <v>5089.83</v>
      </c>
      <c r="DA32" s="26">
        <v>15.4169999999999</v>
      </c>
      <c r="DB32" s="40">
        <v>4.8024691607816999E-11</v>
      </c>
      <c r="DC32" s="26">
        <v>1.05433036261978E-4</v>
      </c>
      <c r="DD32" s="26">
        <v>53.46</v>
      </c>
      <c r="DE32" s="26">
        <v>6</v>
      </c>
      <c r="DF32" s="26">
        <v>455</v>
      </c>
      <c r="DG32" s="26">
        <v>582.6</v>
      </c>
      <c r="DH32" s="26">
        <v>462.8</v>
      </c>
      <c r="DI32" s="26">
        <v>496.79999999999899</v>
      </c>
      <c r="DJ32" s="26">
        <v>28.626842920778699</v>
      </c>
      <c r="DK32" s="26">
        <v>0.77529790984470903</v>
      </c>
      <c r="DL32" s="26">
        <v>0.574771605913033</v>
      </c>
      <c r="DM32" s="26">
        <v>0.26182198537666201</v>
      </c>
      <c r="DN32" s="26">
        <v>75.639999999999802</v>
      </c>
      <c r="DO32" s="26">
        <v>133.59100000000001</v>
      </c>
      <c r="DP32" s="26">
        <v>4.47</v>
      </c>
      <c r="DQ32" s="26">
        <v>73.67</v>
      </c>
      <c r="DR32" s="26">
        <v>34.049999999999997</v>
      </c>
      <c r="DS32" s="26">
        <v>108.59</v>
      </c>
      <c r="DT32" s="26">
        <v>-11.7899999999999</v>
      </c>
      <c r="DU32" s="26">
        <v>-62.699999999999903</v>
      </c>
      <c r="DV32" s="26">
        <v>408.5</v>
      </c>
      <c r="DW32" s="26">
        <v>41.439999999999898</v>
      </c>
      <c r="DX32" s="26">
        <v>25.25</v>
      </c>
      <c r="DY32" s="26">
        <v>407.29999999999899</v>
      </c>
      <c r="DZ32" s="26">
        <v>-6.5999999999999899</v>
      </c>
      <c r="EA32" s="26">
        <v>12.5</v>
      </c>
      <c r="EB32" s="26">
        <v>3147.02</v>
      </c>
      <c r="EC32" s="26">
        <v>1343.28</v>
      </c>
      <c r="ED32" s="26">
        <v>235.35</v>
      </c>
      <c r="EE32" s="26">
        <v>1144.0999999999999</v>
      </c>
      <c r="EF32" s="26">
        <v>178.92999999999901</v>
      </c>
      <c r="EG32" s="26">
        <v>-61.03</v>
      </c>
      <c r="EH32" s="26">
        <v>-20.8</v>
      </c>
      <c r="EI32" s="26">
        <v>66.829999999999899</v>
      </c>
      <c r="EJ32" s="26">
        <v>-66.300000000000097</v>
      </c>
      <c r="EK32" s="26">
        <v>-749.44999999999902</v>
      </c>
      <c r="EL32" s="26">
        <v>677.327828137545</v>
      </c>
      <c r="EM32" s="26">
        <v>384.73658276549702</v>
      </c>
      <c r="EN32" s="26">
        <v>0.76832176873737301</v>
      </c>
      <c r="EO32" s="26">
        <v>0.75073412185932198</v>
      </c>
      <c r="EP32" s="26">
        <v>0.82797949928654602</v>
      </c>
      <c r="EQ32" s="26">
        <v>1E-3</v>
      </c>
      <c r="ER32" s="26">
        <v>136.69505082330201</v>
      </c>
      <c r="ES32" s="26">
        <v>409.08907107136298</v>
      </c>
      <c r="ET32" s="26">
        <v>847.64658506802198</v>
      </c>
      <c r="EU32" s="26">
        <v>209.670039827848</v>
      </c>
      <c r="EV32" s="26">
        <v>366.84181869694299</v>
      </c>
      <c r="EW32" s="26">
        <v>818.82393395840995</v>
      </c>
      <c r="EX32" s="26">
        <v>30032</v>
      </c>
      <c r="EY32" s="26">
        <v>25.662357779997599</v>
      </c>
      <c r="EZ32" s="26">
        <v>7.1445560455322203</v>
      </c>
      <c r="FA32" s="26">
        <v>8.0564556121826101</v>
      </c>
      <c r="FB32" s="26">
        <v>12</v>
      </c>
      <c r="FC32" s="26">
        <v>0</v>
      </c>
      <c r="FD32" s="26">
        <v>0</v>
      </c>
      <c r="FE32" s="26">
        <v>22</v>
      </c>
      <c r="FF32" s="26">
        <v>2</v>
      </c>
      <c r="FG32" s="26">
        <v>0</v>
      </c>
      <c r="FH32" s="26">
        <v>16</v>
      </c>
      <c r="FI32" s="26">
        <v>3</v>
      </c>
      <c r="FJ32" s="26">
        <v>2</v>
      </c>
      <c r="FK32" s="26">
        <v>169</v>
      </c>
      <c r="FL32" s="26">
        <v>546</v>
      </c>
      <c r="FM32" s="26">
        <v>884</v>
      </c>
      <c r="FN32" s="26">
        <v>250.82999999999899</v>
      </c>
      <c r="FO32" s="26">
        <v>1457.2</v>
      </c>
      <c r="FP32" s="26">
        <v>1691.9</v>
      </c>
      <c r="FQ32" s="26">
        <v>2025.9</v>
      </c>
      <c r="FR32" s="26">
        <v>1932.54</v>
      </c>
      <c r="FS32" s="26">
        <v>17.351574297812999</v>
      </c>
      <c r="FT32" s="26">
        <v>158.879999999999</v>
      </c>
      <c r="FU32" s="26">
        <v>21919</v>
      </c>
      <c r="FV32" s="26">
        <v>3540.34</v>
      </c>
      <c r="FW32" s="26">
        <v>19232</v>
      </c>
      <c r="FX32" s="40">
        <v>2.21830389251478E-13</v>
      </c>
      <c r="FY32" s="26">
        <v>897.544384102614</v>
      </c>
      <c r="FZ32" s="26">
        <v>1979.3649474664801</v>
      </c>
      <c r="GA32" s="26">
        <v>2899.6331830305498</v>
      </c>
      <c r="GB32" s="26">
        <v>1544.3753763815901</v>
      </c>
      <c r="GC32" s="26">
        <v>1841.5770697738301</v>
      </c>
      <c r="GD32" s="26">
        <v>2654.17594832132</v>
      </c>
      <c r="GE32" s="26">
        <v>251.58999999999901</v>
      </c>
      <c r="GF32" s="26">
        <v>209.32599999999999</v>
      </c>
      <c r="GG32" s="26">
        <v>173.64899999999901</v>
      </c>
      <c r="GH32" s="26">
        <v>354.14699999999999</v>
      </c>
      <c r="GI32" s="26">
        <v>4711.5879999999997</v>
      </c>
      <c r="GJ32" s="26">
        <v>4542.9089999999997</v>
      </c>
      <c r="GK32" s="26">
        <v>5925.2969999999996</v>
      </c>
      <c r="GL32" s="26">
        <v>412.69299999999998</v>
      </c>
      <c r="GM32" s="26">
        <v>196.47499999999999</v>
      </c>
      <c r="GN32" s="26">
        <v>720.29899999999998</v>
      </c>
      <c r="GO32" s="26">
        <v>-64.039999999999907</v>
      </c>
      <c r="GP32" s="26">
        <v>5005.5401966666705</v>
      </c>
      <c r="GQ32" s="26">
        <v>48670.141370941099</v>
      </c>
      <c r="GR32" s="26">
        <v>2.6332110204080501</v>
      </c>
      <c r="GS32" s="26">
        <v>-2.1072033883976502</v>
      </c>
      <c r="GT32" s="26">
        <v>20.4384923644214</v>
      </c>
      <c r="GU32" s="26">
        <v>9.6588924686069593</v>
      </c>
      <c r="GV32" s="26">
        <v>9.5279424697692008</v>
      </c>
    </row>
    <row r="33" spans="38:204" x14ac:dyDescent="0.25">
      <c r="AL33" s="26" t="s">
        <v>199</v>
      </c>
      <c r="AM33" s="26">
        <v>2</v>
      </c>
      <c r="AN33" s="26">
        <v>-6.3839285714285696E-2</v>
      </c>
      <c r="AO33" s="26">
        <v>295.39999999999901</v>
      </c>
      <c r="AP33" s="26">
        <v>290.89999999999998</v>
      </c>
      <c r="AQ33" s="26">
        <v>55.948999999999998</v>
      </c>
      <c r="AR33" s="26">
        <v>44.000480548983397</v>
      </c>
      <c r="AS33" s="26">
        <v>-3.9011999999999998</v>
      </c>
      <c r="AT33" s="26">
        <v>8.8407999999999998</v>
      </c>
      <c r="AU33" s="26">
        <v>6.5038482336644502E-3</v>
      </c>
      <c r="AV33" s="26">
        <v>-82.143142857142806</v>
      </c>
      <c r="AW33" s="26">
        <v>230.506050588211</v>
      </c>
      <c r="AX33" s="26">
        <v>6.0000000000001998</v>
      </c>
      <c r="AY33" s="26">
        <v>1.53500218267941E-2</v>
      </c>
      <c r="AZ33" s="26">
        <v>2.1851060291761201E-2</v>
      </c>
      <c r="BA33" s="26">
        <v>2.8821330129175201E-2</v>
      </c>
      <c r="BB33" s="26">
        <v>0.44175719869126001</v>
      </c>
      <c r="BC33" s="26">
        <v>163.95908706297701</v>
      </c>
      <c r="BD33" s="26">
        <v>383.373610147747</v>
      </c>
      <c r="BE33" s="26">
        <v>301.45659518856797</v>
      </c>
      <c r="BF33" s="26">
        <v>69.799432479044</v>
      </c>
      <c r="BG33" s="26">
        <v>0.55824280130873905</v>
      </c>
      <c r="BH33" s="26">
        <v>0.17534205374498399</v>
      </c>
      <c r="BI33" s="26">
        <v>431.21177976740302</v>
      </c>
      <c r="BJ33" s="26">
        <v>267.73133826482598</v>
      </c>
      <c r="BK33" s="26">
        <v>234.614536345555</v>
      </c>
      <c r="BL33" s="26">
        <v>2.4201304090282399E-2</v>
      </c>
      <c r="BM33" s="26">
        <v>0.44787713034746801</v>
      </c>
      <c r="BN33" s="26">
        <v>1424.9688863219999</v>
      </c>
      <c r="BO33" s="26">
        <v>1153.9464092964599</v>
      </c>
      <c r="BP33" s="26">
        <v>1119.9729656601301</v>
      </c>
      <c r="BQ33" s="26">
        <v>0.101246438937468</v>
      </c>
      <c r="BR33" s="26">
        <v>0.54781523880607297</v>
      </c>
      <c r="BS33" s="26">
        <v>3914.913</v>
      </c>
      <c r="BT33" s="26">
        <v>20.0725681468186</v>
      </c>
      <c r="BU33" s="26">
        <v>-22.453530377668301</v>
      </c>
      <c r="BV33" s="26">
        <v>20.559934318555001</v>
      </c>
      <c r="BW33" s="26">
        <v>52.74</v>
      </c>
      <c r="BX33" s="26">
        <v>55.979999999999897</v>
      </c>
      <c r="BY33" s="26">
        <v>54.959999999999901</v>
      </c>
      <c r="BZ33" s="26">
        <v>55.35</v>
      </c>
      <c r="CA33" s="26">
        <v>1.30064433416258</v>
      </c>
      <c r="CB33" s="26">
        <v>-82.143142857142905</v>
      </c>
      <c r="CC33" s="26">
        <v>24.69</v>
      </c>
      <c r="CD33" s="26">
        <v>7051</v>
      </c>
      <c r="CE33" s="26">
        <v>0.56145992924466204</v>
      </c>
      <c r="CF33" s="26">
        <v>1.11891605843858</v>
      </c>
      <c r="CG33" s="26">
        <v>1.13070021377916</v>
      </c>
      <c r="CH33" s="26">
        <v>170.703905202773</v>
      </c>
      <c r="CI33" s="26">
        <v>49.192875076238202</v>
      </c>
      <c r="CJ33" s="26">
        <v>210.04224770880299</v>
      </c>
      <c r="CK33" s="26">
        <v>55.639999999999901</v>
      </c>
      <c r="CL33" s="26">
        <v>53.186</v>
      </c>
      <c r="CM33" s="26">
        <v>53.4</v>
      </c>
      <c r="CN33" s="26">
        <v>58.61</v>
      </c>
      <c r="CO33" s="26">
        <v>57.627000000000002</v>
      </c>
      <c r="CP33" s="26">
        <v>57.35</v>
      </c>
      <c r="CQ33" s="26">
        <v>808.43</v>
      </c>
      <c r="CR33" s="26">
        <v>56.734999999999999</v>
      </c>
      <c r="CS33" s="26">
        <v>4.6908371826480798E-2</v>
      </c>
      <c r="CT33" s="26">
        <v>95.919970512800901</v>
      </c>
      <c r="CU33" s="26">
        <v>0.95942783495158201</v>
      </c>
      <c r="CV33" s="26">
        <v>0.27946002816489202</v>
      </c>
      <c r="CW33" s="26">
        <v>3.7420878907314499E-2</v>
      </c>
      <c r="CX33" s="26">
        <v>230.506050588211</v>
      </c>
      <c r="CY33" s="26">
        <v>-1.704</v>
      </c>
      <c r="CZ33" s="26">
        <v>1177.6899999999901</v>
      </c>
      <c r="DA33" s="26">
        <v>4.3650000000000002</v>
      </c>
      <c r="DB33" s="40">
        <v>3.2628390096857999E-11</v>
      </c>
      <c r="DC33" s="26">
        <v>1.04441246158184E-4</v>
      </c>
      <c r="DD33" s="26">
        <v>60.094000000000001</v>
      </c>
      <c r="DE33" s="26">
        <v>6</v>
      </c>
      <c r="DF33" s="26">
        <v>91.3</v>
      </c>
      <c r="DG33" s="26">
        <v>82.899999999999906</v>
      </c>
      <c r="DH33" s="26">
        <v>58.6</v>
      </c>
      <c r="DI33" s="26">
        <v>78.099999999999895</v>
      </c>
      <c r="DJ33" s="26">
        <v>19.449324228635099</v>
      </c>
      <c r="DK33" s="26">
        <v>0.51610672524541001</v>
      </c>
      <c r="DL33" s="26">
        <v>0.85525737509673205</v>
      </c>
      <c r="DM33" s="26">
        <v>4.6568986451346703E-2</v>
      </c>
      <c r="DN33" s="26">
        <v>7.8299999999999903</v>
      </c>
      <c r="DO33" s="26">
        <v>29.306000000000001</v>
      </c>
      <c r="DP33" s="26">
        <v>2.3199999999999998</v>
      </c>
      <c r="DQ33" s="26">
        <v>15.24</v>
      </c>
      <c r="DR33" s="26">
        <v>-7.86</v>
      </c>
      <c r="DS33" s="26">
        <v>19.999999999999901</v>
      </c>
      <c r="DT33" s="26">
        <v>3.15</v>
      </c>
      <c r="DU33" s="26">
        <v>4.2</v>
      </c>
      <c r="DV33" s="26">
        <v>101.8</v>
      </c>
      <c r="DW33" s="26">
        <v>4.6099999999999897</v>
      </c>
      <c r="DX33" s="26">
        <v>-1.03</v>
      </c>
      <c r="DY33" s="26">
        <v>107.9</v>
      </c>
      <c r="DZ33" s="26">
        <v>-10.1</v>
      </c>
      <c r="EA33" s="26">
        <v>-29.1999999999999</v>
      </c>
      <c r="EB33" s="26">
        <v>714.74</v>
      </c>
      <c r="EC33" s="26">
        <v>306.89</v>
      </c>
      <c r="ED33" s="26">
        <v>47.75</v>
      </c>
      <c r="EE33" s="26">
        <v>230.79999999999899</v>
      </c>
      <c r="EF33" s="26">
        <v>40.719999999999899</v>
      </c>
      <c r="EG33" s="26">
        <v>-27.579999999999899</v>
      </c>
      <c r="EH33" s="26">
        <v>-1.4</v>
      </c>
      <c r="EI33" s="26">
        <v>-4.5799999999999903</v>
      </c>
      <c r="EJ33" s="26">
        <v>-18.639999999999901</v>
      </c>
      <c r="EK33" s="26">
        <v>-261.92</v>
      </c>
      <c r="EL33" s="26">
        <v>163.95908706297701</v>
      </c>
      <c r="EM33" s="26">
        <v>137.281519979927</v>
      </c>
      <c r="EN33" s="26">
        <v>5.9510825042129498E-2</v>
      </c>
      <c r="EO33" s="26">
        <v>8.9980527543031694E-2</v>
      </c>
      <c r="EP33" s="26">
        <v>0.100194273888257</v>
      </c>
      <c r="EQ33" s="26">
        <v>1E-3</v>
      </c>
      <c r="ER33" s="26">
        <v>157.31466157225799</v>
      </c>
      <c r="ES33" s="26">
        <v>125.306698639918</v>
      </c>
      <c r="ET33" s="26">
        <v>665.73461424940103</v>
      </c>
      <c r="EU33" s="26">
        <v>276.87989580190902</v>
      </c>
      <c r="EV33" s="26">
        <v>88.7080508076874</v>
      </c>
      <c r="EW33" s="26">
        <v>594.291420998322</v>
      </c>
      <c r="EX33" s="26">
        <v>7372</v>
      </c>
      <c r="EY33" s="26">
        <v>6.3734897499998402</v>
      </c>
      <c r="EZ33" s="26">
        <v>7.3902525901794398</v>
      </c>
      <c r="FA33" s="26">
        <v>7.4738664627075098</v>
      </c>
      <c r="FB33" s="26">
        <v>4</v>
      </c>
      <c r="FC33" s="26">
        <v>1</v>
      </c>
      <c r="FD33" s="26">
        <v>0</v>
      </c>
      <c r="FE33" s="26">
        <v>8</v>
      </c>
      <c r="FF33" s="26">
        <v>0</v>
      </c>
      <c r="FG33" s="26">
        <v>0</v>
      </c>
      <c r="FH33" s="26">
        <v>6</v>
      </c>
      <c r="FI33" s="26">
        <v>2</v>
      </c>
      <c r="FJ33" s="26">
        <v>1</v>
      </c>
      <c r="FK33" s="26">
        <v>35</v>
      </c>
      <c r="FL33" s="26">
        <v>131</v>
      </c>
      <c r="FM33" s="26">
        <v>179</v>
      </c>
      <c r="FN33" s="26">
        <v>50.48</v>
      </c>
      <c r="FO33" s="26">
        <v>292.49999999999898</v>
      </c>
      <c r="FP33" s="26">
        <v>284</v>
      </c>
      <c r="FQ33" s="26">
        <v>467</v>
      </c>
      <c r="FR33" s="26">
        <v>754.64</v>
      </c>
      <c r="FS33" s="26">
        <v>11.88673711411</v>
      </c>
      <c r="FT33" s="26">
        <v>40.809999999999903</v>
      </c>
      <c r="FU33" s="26">
        <v>4874</v>
      </c>
      <c r="FV33" s="26">
        <v>1035.4199999999901</v>
      </c>
      <c r="FW33" s="26">
        <v>3793</v>
      </c>
      <c r="FX33" s="40">
        <v>8.1090637778438504E-14</v>
      </c>
      <c r="FY33" s="26">
        <v>383.373610147747</v>
      </c>
      <c r="FZ33" s="26">
        <v>440.34158306852999</v>
      </c>
      <c r="GA33" s="26">
        <v>1424.9688863219999</v>
      </c>
      <c r="GB33" s="26">
        <v>682.81562081109496</v>
      </c>
      <c r="GC33" s="26">
        <v>393.54300060990499</v>
      </c>
      <c r="GD33" s="26">
        <v>1260.25348625282</v>
      </c>
      <c r="GE33" s="26">
        <v>54.04</v>
      </c>
      <c r="GF33" s="26">
        <v>85.545000000000002</v>
      </c>
      <c r="GG33" s="26">
        <v>25.462</v>
      </c>
      <c r="GH33" s="26">
        <v>112.833</v>
      </c>
      <c r="GI33" s="26">
        <v>1729.441</v>
      </c>
      <c r="GJ33" s="26">
        <v>1683.6780000000001</v>
      </c>
      <c r="GK33" s="26">
        <v>2185.4720000000002</v>
      </c>
      <c r="GL33" s="26">
        <v>166.349999999999</v>
      </c>
      <c r="GM33" s="26">
        <v>94.745999999999995</v>
      </c>
      <c r="GN33" s="26">
        <v>396.37099999999998</v>
      </c>
      <c r="GO33" s="26">
        <v>-36.079999999999899</v>
      </c>
      <c r="GP33" s="26">
        <v>1850.5146849999901</v>
      </c>
      <c r="GQ33" s="26">
        <v>11823.0949189778</v>
      </c>
      <c r="GR33" s="26">
        <v>0.10986071428569701</v>
      </c>
      <c r="GS33" s="26">
        <v>-1.9918201970443401</v>
      </c>
      <c r="GT33" s="26">
        <v>20.263093804845202</v>
      </c>
      <c r="GU33" s="26">
        <v>10.7346841513712</v>
      </c>
      <c r="GV33" s="26">
        <v>10.5860065544238</v>
      </c>
    </row>
    <row r="34" spans="38:204" x14ac:dyDescent="0.25">
      <c r="AL34" s="26" t="s">
        <v>200</v>
      </c>
      <c r="AM34" s="26">
        <v>5</v>
      </c>
      <c r="AN34" s="26">
        <v>-5.7048387096774199E-2</v>
      </c>
      <c r="AO34" s="26">
        <v>704.49999999999898</v>
      </c>
      <c r="AP34" s="26">
        <v>700.68</v>
      </c>
      <c r="AQ34" s="26">
        <v>124.131</v>
      </c>
      <c r="AR34" s="26">
        <v>186.06425533934399</v>
      </c>
      <c r="AS34" s="26">
        <v>-7.4703999999999997</v>
      </c>
      <c r="AT34" s="26">
        <v>20.0247999999999</v>
      </c>
      <c r="AU34" s="26">
        <v>2.0925479931391398E-2</v>
      </c>
      <c r="AV34" s="26">
        <v>-220.34047619047601</v>
      </c>
      <c r="AW34" s="26">
        <v>612.85954982197802</v>
      </c>
      <c r="AX34" s="26">
        <v>6.0000000000005098</v>
      </c>
      <c r="AY34" s="26">
        <v>5.1769411043944696E-3</v>
      </c>
      <c r="AZ34" s="26">
        <v>2.7413254972111702E-2</v>
      </c>
      <c r="BA34" s="26">
        <v>2.5843960566737701E-2</v>
      </c>
      <c r="BB34" s="26">
        <v>0.436441919784474</v>
      </c>
      <c r="BC34" s="26">
        <v>320.08148308429497</v>
      </c>
      <c r="BD34" s="26">
        <v>930.08644523319902</v>
      </c>
      <c r="BE34" s="26">
        <v>758.69878177564499</v>
      </c>
      <c r="BF34" s="26">
        <v>515.08642586641702</v>
      </c>
      <c r="BG34" s="26">
        <v>0.563558080215527</v>
      </c>
      <c r="BH34" s="26">
        <v>3.2084891296554399</v>
      </c>
      <c r="BI34" s="26">
        <v>1508.7306304672099</v>
      </c>
      <c r="BJ34" s="26">
        <v>907.09713029366196</v>
      </c>
      <c r="BK34" s="26">
        <v>789.72805068968205</v>
      </c>
      <c r="BL34" s="26">
        <v>2.9369749177982799E-2</v>
      </c>
      <c r="BM34" s="26">
        <v>0.44236380630535499</v>
      </c>
      <c r="BN34" s="26">
        <v>2352.0186399556101</v>
      </c>
      <c r="BO34" s="26">
        <v>1889.8875004598899</v>
      </c>
      <c r="BP34" s="26">
        <v>1671.05977356635</v>
      </c>
      <c r="BQ34" s="26">
        <v>7.6431767908880496E-2</v>
      </c>
      <c r="BR34" s="26">
        <v>0.55703741466877399</v>
      </c>
      <c r="BS34" s="26">
        <v>8148.2479999999896</v>
      </c>
      <c r="BT34" s="26">
        <v>20.203024649025298</v>
      </c>
      <c r="BU34" s="26">
        <v>-40.150653672450701</v>
      </c>
      <c r="BV34" s="26">
        <v>31.383979082481499</v>
      </c>
      <c r="BW34" s="26">
        <v>119.519999999999</v>
      </c>
      <c r="BX34" s="26">
        <v>120.54</v>
      </c>
      <c r="BY34" s="26">
        <v>120.819999999999</v>
      </c>
      <c r="BZ34" s="26">
        <v>128.06</v>
      </c>
      <c r="CA34" s="26">
        <v>1.76899877561374</v>
      </c>
      <c r="CB34" s="26">
        <v>-220.34047619047601</v>
      </c>
      <c r="CC34" s="26">
        <v>55.369999999999898</v>
      </c>
      <c r="CD34" s="26">
        <v>15390.6</v>
      </c>
      <c r="CE34" s="26">
        <v>0.64883421442364198</v>
      </c>
      <c r="CF34" s="26">
        <v>1.1958895628591899</v>
      </c>
      <c r="CG34" s="26">
        <v>1.0990566618756501</v>
      </c>
      <c r="CH34" s="26">
        <v>179.184147613769</v>
      </c>
      <c r="CI34" s="26">
        <v>71.491581978828194</v>
      </c>
      <c r="CJ34" s="26">
        <v>167.21098944894601</v>
      </c>
      <c r="CK34" s="26">
        <v>128.35999999999899</v>
      </c>
      <c r="CL34" s="26">
        <v>129.19499999999999</v>
      </c>
      <c r="CM34" s="26">
        <v>127.849999999999</v>
      </c>
      <c r="CN34" s="26">
        <v>124.719999999999</v>
      </c>
      <c r="CO34" s="26">
        <v>121.809</v>
      </c>
      <c r="CP34" s="26">
        <v>122.86</v>
      </c>
      <c r="CQ34" s="26">
        <v>1844.14</v>
      </c>
      <c r="CR34" s="26">
        <v>124.91</v>
      </c>
      <c r="CS34" s="26">
        <v>1</v>
      </c>
      <c r="CT34" s="26">
        <v>95.919970512800901</v>
      </c>
      <c r="CU34" s="26">
        <v>1.0483354134740899E-2</v>
      </c>
      <c r="CV34" s="26">
        <v>0.75644331009893795</v>
      </c>
      <c r="CW34" s="26">
        <v>0.65397524256858997</v>
      </c>
      <c r="CX34" s="26">
        <v>612.85954982197802</v>
      </c>
      <c r="CY34" s="26">
        <v>-3.0880000000000001</v>
      </c>
      <c r="CZ34" s="26">
        <v>2584.9299999999998</v>
      </c>
      <c r="DA34" s="26">
        <v>4.1059999999999999</v>
      </c>
      <c r="DB34" s="40">
        <v>4.6790558924489403E-11</v>
      </c>
      <c r="DC34" s="26">
        <v>1.05172594119457E-4</v>
      </c>
      <c r="DD34" s="26">
        <v>42.183</v>
      </c>
      <c r="DE34" s="26">
        <v>6</v>
      </c>
      <c r="DF34" s="26">
        <v>241.2</v>
      </c>
      <c r="DG34" s="26">
        <v>245.7</v>
      </c>
      <c r="DH34" s="26">
        <v>281.39999999999901</v>
      </c>
      <c r="DI34" s="26">
        <v>284.5</v>
      </c>
      <c r="DJ34" s="26">
        <v>27.891193793502101</v>
      </c>
      <c r="DK34" s="26">
        <v>8.7630146480505405E-2</v>
      </c>
      <c r="DL34" s="26">
        <v>0.38625706900073598</v>
      </c>
      <c r="DM34" s="26">
        <v>0.91821916451072005</v>
      </c>
      <c r="DN34" s="26">
        <v>13.42</v>
      </c>
      <c r="DO34" s="26">
        <v>61.464999999999897</v>
      </c>
      <c r="DP34" s="26">
        <v>1.5599999999999901</v>
      </c>
      <c r="DQ34" s="26">
        <v>34.339999999999897</v>
      </c>
      <c r="DR34" s="26">
        <v>-5.9899999999999904</v>
      </c>
      <c r="DS34" s="26">
        <v>40.389999999999901</v>
      </c>
      <c r="DT34" s="26">
        <v>3.83</v>
      </c>
      <c r="DU34" s="26">
        <v>9.9999999999999006E-2</v>
      </c>
      <c r="DV34" s="26">
        <v>231.69999999999899</v>
      </c>
      <c r="DW34" s="26">
        <v>3.48</v>
      </c>
      <c r="DX34" s="26">
        <v>-9.35</v>
      </c>
      <c r="DY34" s="26">
        <v>149.4</v>
      </c>
      <c r="DZ34" s="26">
        <v>-20.099999999999898</v>
      </c>
      <c r="EA34" s="26">
        <v>-57</v>
      </c>
      <c r="EB34" s="26">
        <v>1571.14</v>
      </c>
      <c r="EC34" s="26">
        <v>668.62</v>
      </c>
      <c r="ED34" s="26">
        <v>110.05</v>
      </c>
      <c r="EE34" s="26">
        <v>557.6</v>
      </c>
      <c r="EF34" s="26">
        <v>89.369999999999905</v>
      </c>
      <c r="EG34" s="26">
        <v>-75.53</v>
      </c>
      <c r="EH34" s="26">
        <v>-11.7099999999999</v>
      </c>
      <c r="EI34" s="26">
        <v>6.39</v>
      </c>
      <c r="EJ34" s="26">
        <v>-56.15</v>
      </c>
      <c r="EK34" s="26">
        <v>-579.68999999999903</v>
      </c>
      <c r="EL34" s="26">
        <v>320.08148308429497</v>
      </c>
      <c r="EM34" s="26">
        <v>135.48604225810001</v>
      </c>
      <c r="EN34" s="26">
        <v>0.46503320982330498</v>
      </c>
      <c r="EO34" s="26">
        <v>0.357370306740527</v>
      </c>
      <c r="EP34" s="26">
        <v>0.31582612627656198</v>
      </c>
      <c r="EQ34" s="26">
        <v>1E-3</v>
      </c>
      <c r="ER34" s="26">
        <v>361.38151508892503</v>
      </c>
      <c r="ES34" s="26">
        <v>423.52096007791602</v>
      </c>
      <c r="ET34" s="26">
        <v>531.44423053661001</v>
      </c>
      <c r="EU34" s="26">
        <v>543.70931119053898</v>
      </c>
      <c r="EV34" s="26">
        <v>316.26186576709301</v>
      </c>
      <c r="EW34" s="26">
        <v>453.28213525371302</v>
      </c>
      <c r="EX34" s="26">
        <v>16087</v>
      </c>
      <c r="EY34" s="26">
        <v>13.8758254600006</v>
      </c>
      <c r="EZ34" s="26">
        <v>8.1002168655395508</v>
      </c>
      <c r="FA34" s="26">
        <v>8.4196109771728498</v>
      </c>
      <c r="FB34" s="26">
        <v>8</v>
      </c>
      <c r="FC34" s="26">
        <v>2</v>
      </c>
      <c r="FD34" s="26">
        <v>1</v>
      </c>
      <c r="FE34" s="26">
        <v>18</v>
      </c>
      <c r="FF34" s="26">
        <v>1</v>
      </c>
      <c r="FG34" s="26">
        <v>0</v>
      </c>
      <c r="FH34" s="26">
        <v>13</v>
      </c>
      <c r="FI34" s="26">
        <v>2</v>
      </c>
      <c r="FJ34" s="26">
        <v>0</v>
      </c>
      <c r="FK34" s="26">
        <v>91</v>
      </c>
      <c r="FL34" s="26">
        <v>408</v>
      </c>
      <c r="FM34" s="26">
        <v>432</v>
      </c>
      <c r="FN34" s="26">
        <v>121.72</v>
      </c>
      <c r="FO34" s="26">
        <v>724.099999999999</v>
      </c>
      <c r="FP34" s="26">
        <v>717.6</v>
      </c>
      <c r="FQ34" s="26">
        <v>1066.5999999999999</v>
      </c>
      <c r="FR34" s="26">
        <v>1524.89</v>
      </c>
      <c r="FS34" s="26">
        <v>16.0546593788109</v>
      </c>
      <c r="FT34" s="26">
        <v>78.039999999999907</v>
      </c>
      <c r="FU34" s="26">
        <v>11095</v>
      </c>
      <c r="FV34" s="26">
        <v>1957.1099999999899</v>
      </c>
      <c r="FW34" s="26">
        <v>9967</v>
      </c>
      <c r="FX34" s="40">
        <v>1.23108960938946E-13</v>
      </c>
      <c r="FY34" s="26">
        <v>930.08644523319902</v>
      </c>
      <c r="FZ34" s="26">
        <v>1538.9286609739099</v>
      </c>
      <c r="GA34" s="26">
        <v>2389.0665746048899</v>
      </c>
      <c r="GB34" s="26">
        <v>1433.4731809101499</v>
      </c>
      <c r="GC34" s="26">
        <v>1286.8484756189</v>
      </c>
      <c r="GD34" s="26">
        <v>2173.7428628363</v>
      </c>
      <c r="GE34" s="26">
        <v>126.29</v>
      </c>
      <c r="GF34" s="26">
        <v>223.36999999999901</v>
      </c>
      <c r="GG34" s="26">
        <v>170.506</v>
      </c>
      <c r="GH34" s="26">
        <v>210.582999999999</v>
      </c>
      <c r="GI34" s="26">
        <v>3556.2369999999901</v>
      </c>
      <c r="GJ34" s="26">
        <v>3458.9720000000002</v>
      </c>
      <c r="GK34" s="26">
        <v>4592.0110000000004</v>
      </c>
      <c r="GL34" s="26">
        <v>364.654</v>
      </c>
      <c r="GM34" s="26">
        <v>239.31200000000001</v>
      </c>
      <c r="GN34" s="26">
        <v>622.78499999999997</v>
      </c>
      <c r="GO34" s="26">
        <v>-56.54</v>
      </c>
      <c r="GP34" s="26">
        <v>3851.2166099999899</v>
      </c>
      <c r="GQ34" s="26">
        <v>26116.790044340301</v>
      </c>
      <c r="GR34" s="26">
        <v>5.9909975806451197</v>
      </c>
      <c r="GS34" s="26">
        <v>0.73211180290910705</v>
      </c>
      <c r="GT34" s="26">
        <v>20.3924510157178</v>
      </c>
      <c r="GU34" s="26">
        <v>10.578737531522</v>
      </c>
      <c r="GV34" s="26">
        <v>10.399156021593001</v>
      </c>
    </row>
    <row r="35" spans="38:204" x14ac:dyDescent="0.25">
      <c r="AL35" s="26" t="s">
        <v>201</v>
      </c>
      <c r="AM35" s="26">
        <v>10</v>
      </c>
      <c r="AN35" s="26">
        <v>6.7570342205323E-2</v>
      </c>
      <c r="AO35" s="26">
        <v>1546.9</v>
      </c>
      <c r="AP35" s="26">
        <v>1551.5699999999899</v>
      </c>
      <c r="AQ35" s="26">
        <v>253.414999999999</v>
      </c>
      <c r="AR35" s="26">
        <v>509.56625833656801</v>
      </c>
      <c r="AS35" s="26">
        <v>17.410799999999998</v>
      </c>
      <c r="AT35" s="26">
        <v>62.4726</v>
      </c>
      <c r="AU35" s="26">
        <v>2.8310335748825299E-2</v>
      </c>
      <c r="AV35" s="26">
        <v>-453.46371428571399</v>
      </c>
      <c r="AW35" s="26">
        <v>743.41915574397206</v>
      </c>
      <c r="AX35" s="26">
        <v>3.0000000000014402</v>
      </c>
      <c r="AY35" s="26">
        <v>1.4376247829192199E-2</v>
      </c>
      <c r="AZ35" s="26">
        <v>1.3550696099319101E-2</v>
      </c>
      <c r="BA35" s="26">
        <v>1.79986160379704E-2</v>
      </c>
      <c r="BB35" s="26">
        <v>0.403613034898337</v>
      </c>
      <c r="BC35" s="26">
        <v>1931.64975848428</v>
      </c>
      <c r="BD35" s="26">
        <v>1599.1613664347201</v>
      </c>
      <c r="BE35" s="26">
        <v>1323.4935002413999</v>
      </c>
      <c r="BF35" s="26">
        <v>925.90592245923006</v>
      </c>
      <c r="BG35" s="26">
        <v>0.596386965101664</v>
      </c>
      <c r="BH35" s="26">
        <v>2.1393357556066399</v>
      </c>
      <c r="BI35" s="26">
        <v>2593.31896220812</v>
      </c>
      <c r="BJ35" s="26">
        <v>1588.8567587027201</v>
      </c>
      <c r="BK35" s="26">
        <v>1345.96113949293</v>
      </c>
      <c r="BL35" s="26">
        <v>3.3236493304333002E-2</v>
      </c>
      <c r="BM35" s="26">
        <v>0.42586231582122402</v>
      </c>
      <c r="BN35" s="26">
        <v>3252.3892302833501</v>
      </c>
      <c r="BO35" s="26">
        <v>2435.9856986274999</v>
      </c>
      <c r="BP35" s="26">
        <v>2230.01224330786</v>
      </c>
      <c r="BQ35" s="26">
        <v>7.11345743106606E-2</v>
      </c>
      <c r="BR35" s="26">
        <v>0.57413768417877598</v>
      </c>
      <c r="BS35" s="26">
        <v>13221.460999999899</v>
      </c>
      <c r="BT35" s="26">
        <v>10.1597140166167</v>
      </c>
      <c r="BU35" s="26">
        <v>-87.2695965769325</v>
      </c>
      <c r="BV35" s="26">
        <v>27.902430732130501</v>
      </c>
      <c r="BW35" s="26">
        <v>251.41</v>
      </c>
      <c r="BX35" s="26">
        <v>249.57899999999901</v>
      </c>
      <c r="BY35" s="26">
        <v>249.69999999999899</v>
      </c>
      <c r="BZ35" s="26">
        <v>254.63</v>
      </c>
      <c r="CA35" s="26">
        <v>1.06317912032763</v>
      </c>
      <c r="CB35" s="26">
        <v>-453.46371428571302</v>
      </c>
      <c r="CC35" s="26">
        <v>111.71</v>
      </c>
      <c r="CD35" s="26">
        <v>30277.299999999901</v>
      </c>
      <c r="CE35" s="26">
        <v>0.63712405376227599</v>
      </c>
      <c r="CF35" s="26">
        <v>1.17013596194867</v>
      </c>
      <c r="CG35" s="26">
        <v>1.12597150421121</v>
      </c>
      <c r="CH35" s="26">
        <v>209.16404963202999</v>
      </c>
      <c r="CI35" s="26">
        <v>86.597568990557804</v>
      </c>
      <c r="CJ35" s="26">
        <v>152.30884615316799</v>
      </c>
      <c r="CK35" s="26">
        <v>257.52999999999997</v>
      </c>
      <c r="CL35" s="26">
        <v>259.17700000000002</v>
      </c>
      <c r="CM35" s="26">
        <v>255.55999999999901</v>
      </c>
      <c r="CN35" s="26">
        <v>252.07</v>
      </c>
      <c r="CO35" s="26">
        <v>249.614</v>
      </c>
      <c r="CP35" s="26">
        <v>253.729999999999</v>
      </c>
      <c r="CQ35" s="26">
        <v>3737.6</v>
      </c>
      <c r="CR35" s="26">
        <v>254.16</v>
      </c>
      <c r="CS35" s="26">
        <v>1</v>
      </c>
      <c r="CT35" s="26">
        <v>95.919970512800901</v>
      </c>
      <c r="CU35" s="26">
        <v>1.37183081818672E-2</v>
      </c>
      <c r="CV35" s="26">
        <v>0.89246722250991095</v>
      </c>
      <c r="CW35" s="26">
        <v>0.45090360917392502</v>
      </c>
      <c r="CX35" s="26">
        <v>743.41915574397206</v>
      </c>
      <c r="CY35" s="26">
        <v>0.375999999999997</v>
      </c>
      <c r="CZ35" s="26">
        <v>5261.5099999999902</v>
      </c>
      <c r="DA35" s="26">
        <v>17.294999999999899</v>
      </c>
      <c r="DB35" s="40">
        <v>8.3636052232199502E-11</v>
      </c>
      <c r="DC35" s="40">
        <v>5.2912830363163501E-5</v>
      </c>
      <c r="DD35" s="26">
        <v>190.07499999999999</v>
      </c>
      <c r="DE35" s="26">
        <v>3</v>
      </c>
      <c r="DF35" s="26">
        <v>599.39999999999895</v>
      </c>
      <c r="DG35" s="26">
        <v>867.89999999999804</v>
      </c>
      <c r="DH35" s="26">
        <v>759.8</v>
      </c>
      <c r="DI35" s="26">
        <v>613.70000000000005</v>
      </c>
      <c r="DJ35" s="26">
        <v>49.854273908039303</v>
      </c>
      <c r="DK35" s="26">
        <v>0.44631571623472899</v>
      </c>
      <c r="DL35" s="26">
        <v>0.88767935430479405</v>
      </c>
      <c r="DM35" s="26">
        <v>0.11325919557768201</v>
      </c>
      <c r="DN35" s="26">
        <v>105.08999999999899</v>
      </c>
      <c r="DO35" s="26">
        <v>139.13900000000001</v>
      </c>
      <c r="DP35" s="26">
        <v>-11.8599999999999</v>
      </c>
      <c r="DQ35" s="26">
        <v>76.510000000000005</v>
      </c>
      <c r="DR35" s="26">
        <v>40.71</v>
      </c>
      <c r="DS35" s="26">
        <v>111.91</v>
      </c>
      <c r="DT35" s="26">
        <v>-7.2699999999999898</v>
      </c>
      <c r="DU35" s="26">
        <v>-46.499999999999901</v>
      </c>
      <c r="DV35" s="26">
        <v>322.599999999999</v>
      </c>
      <c r="DW35" s="26">
        <v>57.01</v>
      </c>
      <c r="DX35" s="26">
        <v>31.780000000000101</v>
      </c>
      <c r="DY35" s="26">
        <v>426.49999999999898</v>
      </c>
      <c r="DZ35" s="26">
        <v>-11.1999999999999</v>
      </c>
      <c r="EA35" s="26">
        <v>18.999999999999901</v>
      </c>
      <c r="EB35" s="26">
        <v>3252.9299999999898</v>
      </c>
      <c r="EC35" s="26">
        <v>1395.12</v>
      </c>
      <c r="ED35" s="26">
        <v>240.89</v>
      </c>
      <c r="EE35" s="26">
        <v>1274.79999999999</v>
      </c>
      <c r="EF35" s="26">
        <v>184.289999999999</v>
      </c>
      <c r="EG35" s="26">
        <v>-55.42</v>
      </c>
      <c r="EH35" s="26">
        <v>-16.97</v>
      </c>
      <c r="EI35" s="26">
        <v>81.669999999999803</v>
      </c>
      <c r="EJ35" s="26">
        <v>-53.720000000000098</v>
      </c>
      <c r="EK35" s="26">
        <v>-746.05999999999904</v>
      </c>
      <c r="EL35" s="26">
        <v>1931.64975848428</v>
      </c>
      <c r="EM35" s="26">
        <v>1159.2410757063301</v>
      </c>
      <c r="EN35" s="26">
        <v>1.39805356146755</v>
      </c>
      <c r="EO35" s="26">
        <v>0.79626684864813102</v>
      </c>
      <c r="EP35" s="26">
        <v>1.4085444460565699</v>
      </c>
      <c r="EQ35" s="26">
        <v>1E-3</v>
      </c>
      <c r="ER35" s="26">
        <v>372.25454031639202</v>
      </c>
      <c r="ES35" s="26">
        <v>669.36648668258897</v>
      </c>
      <c r="ET35" s="26">
        <v>2208.3648556880999</v>
      </c>
      <c r="EU35" s="26">
        <v>689.68111831104295</v>
      </c>
      <c r="EV35" s="26">
        <v>493.26307703962198</v>
      </c>
      <c r="EW35" s="26">
        <v>1837.80061397447</v>
      </c>
      <c r="EX35" s="26">
        <v>31191</v>
      </c>
      <c r="EY35" s="26">
        <v>27.706013739997299</v>
      </c>
      <c r="EZ35" s="26">
        <v>4.5353479385375897</v>
      </c>
      <c r="FA35" s="26">
        <v>5.6573328971862704</v>
      </c>
      <c r="FB35" s="26">
        <v>12</v>
      </c>
      <c r="FC35" s="26">
        <v>2</v>
      </c>
      <c r="FD35" s="26">
        <v>1</v>
      </c>
      <c r="FE35" s="26">
        <v>26</v>
      </c>
      <c r="FF35" s="26">
        <v>2</v>
      </c>
      <c r="FG35" s="26">
        <v>0</v>
      </c>
      <c r="FH35" s="26">
        <v>19</v>
      </c>
      <c r="FI35" s="26">
        <v>1</v>
      </c>
      <c r="FJ35" s="26">
        <v>1</v>
      </c>
      <c r="FK35" s="26">
        <v>164</v>
      </c>
      <c r="FL35" s="26">
        <v>618</v>
      </c>
      <c r="FM35" s="26">
        <v>935</v>
      </c>
      <c r="FN35" s="26">
        <v>266.87999999999897</v>
      </c>
      <c r="FO35" s="26">
        <v>1508.9</v>
      </c>
      <c r="FP35" s="26">
        <v>1788.2</v>
      </c>
      <c r="FQ35" s="26">
        <v>2101.3000000000002</v>
      </c>
      <c r="FR35" s="26">
        <v>2447.41</v>
      </c>
      <c r="FS35" s="26">
        <v>19.178807298464601</v>
      </c>
      <c r="FT35" s="26">
        <v>133.66999999999899</v>
      </c>
      <c r="FU35" s="26">
        <v>22433</v>
      </c>
      <c r="FV35" s="26">
        <v>3528.5</v>
      </c>
      <c r="FW35" s="26">
        <v>19732</v>
      </c>
      <c r="FX35" s="40">
        <v>1.3752118011795E-13</v>
      </c>
      <c r="FY35" s="26">
        <v>1599.1613664347201</v>
      </c>
      <c r="FZ35" s="26">
        <v>2634.6041720227599</v>
      </c>
      <c r="GA35" s="26">
        <v>3258.41299154739</v>
      </c>
      <c r="GB35" s="26">
        <v>2509.9685955843602</v>
      </c>
      <c r="GC35" s="26">
        <v>2251.5367937545002</v>
      </c>
      <c r="GD35" s="26">
        <v>2893.8680769102002</v>
      </c>
      <c r="GE35" s="26">
        <v>257.25999999999902</v>
      </c>
      <c r="GF35" s="26">
        <v>179.159999999999</v>
      </c>
      <c r="GG35" s="26">
        <v>374.30399999999901</v>
      </c>
      <c r="GH35" s="26">
        <v>237.96799999999899</v>
      </c>
      <c r="GI35" s="26">
        <v>5336.3540000000003</v>
      </c>
      <c r="GJ35" s="26">
        <v>5123.7199999999903</v>
      </c>
      <c r="GK35" s="26">
        <v>7885.107</v>
      </c>
      <c r="GL35" s="26">
        <v>690.77200000000096</v>
      </c>
      <c r="GM35" s="26">
        <v>439.435</v>
      </c>
      <c r="GN35" s="26">
        <v>940.50299999999902</v>
      </c>
      <c r="GO35" s="26">
        <v>-63.949999999999903</v>
      </c>
      <c r="GP35" s="26">
        <v>6207.5374583333396</v>
      </c>
      <c r="GQ35" s="26">
        <v>52917.448829327797</v>
      </c>
      <c r="GR35" s="26">
        <v>3.0736114068439799</v>
      </c>
      <c r="GS35" s="26">
        <v>-2.0163333043236</v>
      </c>
      <c r="GT35" s="26">
        <v>10.2539453715225</v>
      </c>
      <c r="GU35" s="26">
        <v>7.7187527129540996</v>
      </c>
      <c r="GV35" s="26">
        <v>7.4662210023200801</v>
      </c>
    </row>
    <row r="36" spans="38:204" x14ac:dyDescent="0.25">
      <c r="AL36" s="26" t="s">
        <v>202</v>
      </c>
      <c r="AM36" s="26">
        <v>6</v>
      </c>
      <c r="AN36" s="26">
        <v>3.27160493827162E-4</v>
      </c>
      <c r="AO36" s="26">
        <v>960.9</v>
      </c>
      <c r="AP36" s="26">
        <v>981.92999999999904</v>
      </c>
      <c r="AQ36" s="26">
        <v>162.665999999999</v>
      </c>
      <c r="AR36" s="26">
        <v>146.587064821116</v>
      </c>
      <c r="AS36" s="26">
        <v>-2.9463999999999899</v>
      </c>
      <c r="AT36" s="26">
        <v>33.8322</v>
      </c>
      <c r="AU36" s="26">
        <v>1.43351741176714E-2</v>
      </c>
      <c r="AV36" s="26">
        <v>-310.02780952380903</v>
      </c>
      <c r="AW36" s="26">
        <v>603.02302001460998</v>
      </c>
      <c r="AX36" s="26">
        <v>-6.9999999999992202</v>
      </c>
      <c r="AY36" s="26">
        <v>3.8454580676689498E-3</v>
      </c>
      <c r="AZ36" s="26">
        <v>2.2589308488925899E-2</v>
      </c>
      <c r="BA36" s="26">
        <v>3.0901875410592999E-2</v>
      </c>
      <c r="BB36" s="26">
        <v>0.444698659163768</v>
      </c>
      <c r="BC36" s="26">
        <v>561.93988091084805</v>
      </c>
      <c r="BD36" s="26">
        <v>924.46625932972302</v>
      </c>
      <c r="BE36" s="26">
        <v>633.49906930727502</v>
      </c>
      <c r="BF36" s="26">
        <v>384.54505502244399</v>
      </c>
      <c r="BG36" s="26">
        <v>0.55530134083623195</v>
      </c>
      <c r="BH36" s="26">
        <v>2.3230351777288201</v>
      </c>
      <c r="BI36" s="26">
        <v>3059.9312313186301</v>
      </c>
      <c r="BJ36" s="26">
        <v>2399.06803484683</v>
      </c>
      <c r="BK36" s="26">
        <v>2218.2626798343199</v>
      </c>
      <c r="BL36" s="26">
        <v>7.0984816242150195E-2</v>
      </c>
      <c r="BM36" s="26">
        <v>0.43106944565516397</v>
      </c>
      <c r="BN36" s="26">
        <v>2045.00886910538</v>
      </c>
      <c r="BO36" s="26">
        <v>1609.8929962376601</v>
      </c>
      <c r="BP36" s="26">
        <v>1470.3983678590901</v>
      </c>
      <c r="BQ36" s="26">
        <v>7.2169327514087306E-2</v>
      </c>
      <c r="BR36" s="26">
        <v>0.56893055434483597</v>
      </c>
      <c r="BS36" s="26">
        <v>8385.7369999999901</v>
      </c>
      <c r="BT36" s="26">
        <v>-23.5564186610188</v>
      </c>
      <c r="BU36" s="26">
        <v>-57.714348268042897</v>
      </c>
      <c r="BV36" s="26">
        <v>32.176473434201199</v>
      </c>
      <c r="BW36" s="26">
        <v>175.88999999999899</v>
      </c>
      <c r="BX36" s="26">
        <v>177.09899999999899</v>
      </c>
      <c r="BY36" s="26">
        <v>178.35</v>
      </c>
      <c r="BZ36" s="26">
        <v>163.46</v>
      </c>
      <c r="CA36" s="26">
        <v>-2.0185213041167001</v>
      </c>
      <c r="CB36" s="26">
        <v>-310.02780952380903</v>
      </c>
      <c r="CC36" s="26">
        <v>70.559999999999903</v>
      </c>
      <c r="CD36" s="26">
        <v>20503.3999999999</v>
      </c>
      <c r="CE36" s="26">
        <v>0.62873142731757903</v>
      </c>
      <c r="CF36" s="26">
        <v>1.37925810917414</v>
      </c>
      <c r="CG36" s="26">
        <v>1.1935496979748199</v>
      </c>
      <c r="CH36" s="26">
        <v>147.03675037748101</v>
      </c>
      <c r="CI36" s="26">
        <v>280.01705703341298</v>
      </c>
      <c r="CJ36" s="26">
        <v>190.847615320877</v>
      </c>
      <c r="CK36" s="26">
        <v>160.77000000000001</v>
      </c>
      <c r="CL36" s="26">
        <v>161.37899999999999</v>
      </c>
      <c r="CM36" s="26">
        <v>156.38999999999999</v>
      </c>
      <c r="CN36" s="26">
        <v>147.81</v>
      </c>
      <c r="CO36" s="26">
        <v>149.99299999999999</v>
      </c>
      <c r="CP36" s="26">
        <v>149.83999999999901</v>
      </c>
      <c r="CQ36" s="26">
        <v>2576.17</v>
      </c>
      <c r="CR36" s="26">
        <v>154.58500000000001</v>
      </c>
      <c r="CS36" s="26">
        <v>1</v>
      </c>
      <c r="CT36" s="26">
        <v>95.919970512800901</v>
      </c>
      <c r="CU36" s="26">
        <v>0.66843978125692205</v>
      </c>
      <c r="CV36" s="26">
        <v>0.70157295283126497</v>
      </c>
      <c r="CW36" s="26">
        <v>0.24694868027348801</v>
      </c>
      <c r="CX36" s="26">
        <v>603.02302001460998</v>
      </c>
      <c r="CY36" s="26">
        <v>4.5190000000000001</v>
      </c>
      <c r="CZ36" s="26">
        <v>3401.61</v>
      </c>
      <c r="DA36" s="26">
        <v>17.4879999999999</v>
      </c>
      <c r="DB36" s="40">
        <v>4.5181385611109098E-11</v>
      </c>
      <c r="DC36" s="26">
        <v>-1.22624087797037E-4</v>
      </c>
      <c r="DD36" s="26">
        <v>32.247</v>
      </c>
      <c r="DE36" s="26">
        <v>-7</v>
      </c>
      <c r="DF36" s="26">
        <v>319</v>
      </c>
      <c r="DG36" s="26">
        <v>520.29999999999995</v>
      </c>
      <c r="DH36" s="26">
        <v>419.8</v>
      </c>
      <c r="DI36" s="26">
        <v>134.69999999999899</v>
      </c>
      <c r="DJ36" s="26">
        <v>26.9319882237792</v>
      </c>
      <c r="DK36" s="26">
        <v>0.999847873162377</v>
      </c>
      <c r="DL36" s="26">
        <v>9.1950990461174692E-3</v>
      </c>
      <c r="DM36" s="26">
        <v>1.4821628999592299E-2</v>
      </c>
      <c r="DN36" s="26">
        <v>66.569999999999894</v>
      </c>
      <c r="DO36" s="26">
        <v>84.992000000000004</v>
      </c>
      <c r="DP36" s="26">
        <v>-20.069999999999901</v>
      </c>
      <c r="DQ36" s="26">
        <v>46.34</v>
      </c>
      <c r="DR36" s="26">
        <v>4.59</v>
      </c>
      <c r="DS36" s="26">
        <v>66.309999999999903</v>
      </c>
      <c r="DT36" s="26">
        <v>-2.79</v>
      </c>
      <c r="DU36" s="26">
        <v>19.899999999999899</v>
      </c>
      <c r="DV36" s="26">
        <v>182.9</v>
      </c>
      <c r="DW36" s="26">
        <v>33.129999999999903</v>
      </c>
      <c r="DX36" s="26">
        <v>-1.8999999999999899</v>
      </c>
      <c r="DY36" s="26">
        <v>280</v>
      </c>
      <c r="DZ36" s="26">
        <v>-26.5</v>
      </c>
      <c r="EA36" s="26">
        <v>-26.999999999999901</v>
      </c>
      <c r="EB36" s="26">
        <v>2094.2199999999998</v>
      </c>
      <c r="EC36" s="26">
        <v>903.22</v>
      </c>
      <c r="ED36" s="26">
        <v>139.12</v>
      </c>
      <c r="EE36" s="26">
        <v>775</v>
      </c>
      <c r="EF36" s="26">
        <v>116.91999999999901</v>
      </c>
      <c r="EG36" s="26">
        <v>-72.150000000000006</v>
      </c>
      <c r="EH36" s="26">
        <v>-8.7100000000000009</v>
      </c>
      <c r="EI36" s="26">
        <v>31.04</v>
      </c>
      <c r="EJ36" s="26">
        <v>-12.049999999999899</v>
      </c>
      <c r="EK36" s="26">
        <v>-639.5</v>
      </c>
      <c r="EL36" s="26">
        <v>561.93988091084805</v>
      </c>
      <c r="EM36" s="26">
        <v>177.095294928226</v>
      </c>
      <c r="EN36" s="26">
        <v>0.45417856749213598</v>
      </c>
      <c r="EO36" s="26">
        <v>0.46121938793732897</v>
      </c>
      <c r="EP36" s="26">
        <v>0.44431265483390697</v>
      </c>
      <c r="EQ36" s="26">
        <v>1E-3</v>
      </c>
      <c r="ER36" s="26">
        <v>374.68545897067702</v>
      </c>
      <c r="ES36" s="26">
        <v>1600.2219433637799</v>
      </c>
      <c r="ET36" s="26">
        <v>381.13663784315202</v>
      </c>
      <c r="EU36" s="26">
        <v>468.87040557840299</v>
      </c>
      <c r="EV36" s="26">
        <v>1159.8668890758699</v>
      </c>
      <c r="EW36" s="26">
        <v>325.22671296583701</v>
      </c>
      <c r="EX36" s="26">
        <v>21247</v>
      </c>
      <c r="EY36" s="26">
        <v>18.356409019998502</v>
      </c>
      <c r="EZ36" s="26">
        <v>-4.1055874824523899</v>
      </c>
      <c r="FA36" s="26">
        <v>-2.2666721343994101</v>
      </c>
      <c r="FB36" s="26">
        <v>10</v>
      </c>
      <c r="FC36" s="26">
        <v>1</v>
      </c>
      <c r="FD36" s="26">
        <v>0</v>
      </c>
      <c r="FE36" s="26">
        <v>8</v>
      </c>
      <c r="FF36" s="26">
        <v>3</v>
      </c>
      <c r="FG36" s="26">
        <v>1</v>
      </c>
      <c r="FH36" s="26">
        <v>9</v>
      </c>
      <c r="FI36" s="26">
        <v>4</v>
      </c>
      <c r="FJ36" s="26">
        <v>0</v>
      </c>
      <c r="FK36" s="26">
        <v>113</v>
      </c>
      <c r="FL36" s="26">
        <v>546</v>
      </c>
      <c r="FM36" s="26">
        <v>537</v>
      </c>
      <c r="FN36" s="26">
        <v>165.95</v>
      </c>
      <c r="FO36" s="26">
        <v>921.8</v>
      </c>
      <c r="FP36" s="26">
        <v>947.3</v>
      </c>
      <c r="FQ36" s="26">
        <v>1377.2</v>
      </c>
      <c r="FR36" s="26">
        <v>2463.6999999999998</v>
      </c>
      <c r="FS36" s="26">
        <v>15.7120805674155</v>
      </c>
      <c r="FT36" s="26">
        <v>88.39</v>
      </c>
      <c r="FU36" s="26">
        <v>13988</v>
      </c>
      <c r="FV36" s="26">
        <v>2693.43</v>
      </c>
      <c r="FW36" s="26">
        <v>12503</v>
      </c>
      <c r="FX36" s="40">
        <v>1.68662001964434E-13</v>
      </c>
      <c r="FY36" s="26">
        <v>924.46625932972302</v>
      </c>
      <c r="FZ36" s="26">
        <v>3089.72637296331</v>
      </c>
      <c r="GA36" s="26">
        <v>2050.0750226290402</v>
      </c>
      <c r="GB36" s="26">
        <v>1470.3675037748101</v>
      </c>
      <c r="GC36" s="26">
        <v>2240.1364562673002</v>
      </c>
      <c r="GD36" s="26">
        <v>1717.6285378878899</v>
      </c>
      <c r="GE36" s="26">
        <v>163.91</v>
      </c>
      <c r="GF36" s="26">
        <v>189.427999999999</v>
      </c>
      <c r="GG36" s="26">
        <v>120.211</v>
      </c>
      <c r="GH36" s="26">
        <v>259.13499999999999</v>
      </c>
      <c r="GI36" s="26">
        <v>3729.1259999999902</v>
      </c>
      <c r="GJ36" s="26">
        <v>3636.5739999999901</v>
      </c>
      <c r="GK36" s="26">
        <v>4656.6109999999999</v>
      </c>
      <c r="GL36" s="26">
        <v>297.99599999999901</v>
      </c>
      <c r="GM36" s="26">
        <v>595.26</v>
      </c>
      <c r="GN36" s="26">
        <v>605.19299999999998</v>
      </c>
      <c r="GO36" s="26">
        <v>-91.18</v>
      </c>
      <c r="GP36" s="26">
        <v>3938.97832666666</v>
      </c>
      <c r="GQ36" s="26">
        <v>35353.021956835197</v>
      </c>
      <c r="GR36" s="26">
        <v>10.2112499999999</v>
      </c>
      <c r="GS36" s="26">
        <v>2.2580605158729798</v>
      </c>
      <c r="GT36" s="26">
        <v>-23.777531066117799</v>
      </c>
      <c r="GU36" s="26">
        <v>4.7817098396764299</v>
      </c>
      <c r="GV36" s="26">
        <v>4.5326334072642203</v>
      </c>
    </row>
    <row r="37" spans="38:204" x14ac:dyDescent="0.25">
      <c r="AL37" s="26" t="s">
        <v>203</v>
      </c>
      <c r="AM37" s="26">
        <v>14</v>
      </c>
      <c r="AN37" s="26">
        <v>-8.2473413379073393E-2</v>
      </c>
      <c r="AO37" s="26">
        <v>3354.7999999999902</v>
      </c>
      <c r="AP37" s="26">
        <v>3393.9199999999901</v>
      </c>
      <c r="AQ37" s="26">
        <v>584.727000000001</v>
      </c>
      <c r="AR37" s="26">
        <v>278.08155154834901</v>
      </c>
      <c r="AS37" s="26">
        <v>-48.878799999999998</v>
      </c>
      <c r="AT37" s="26">
        <v>90.059799999999896</v>
      </c>
      <c r="AU37" s="26">
        <v>2.3093056494754599E-2</v>
      </c>
      <c r="AV37" s="26">
        <v>-556.17914285714301</v>
      </c>
      <c r="AW37" s="26">
        <v>402.19279919069299</v>
      </c>
      <c r="AX37" s="26">
        <v>-2.0000000000233702</v>
      </c>
      <c r="AY37" s="26">
        <v>2.09368070907645E-3</v>
      </c>
      <c r="AZ37" s="26">
        <v>2.5115943347530902E-2</v>
      </c>
      <c r="BA37" s="26">
        <v>4.0081067765309099E-2</v>
      </c>
      <c r="BB37" s="26">
        <v>0.435004038410572</v>
      </c>
      <c r="BC37" s="26">
        <v>1591.01968835555</v>
      </c>
      <c r="BD37" s="26">
        <v>2382.17352026854</v>
      </c>
      <c r="BE37" s="26">
        <v>1095.8463852351399</v>
      </c>
      <c r="BF37" s="26">
        <v>283.70111017475102</v>
      </c>
      <c r="BG37" s="26">
        <v>0.56499596158943299</v>
      </c>
      <c r="BH37" s="26">
        <v>11.3783892379187</v>
      </c>
      <c r="BI37" s="26">
        <v>9195.6003807768993</v>
      </c>
      <c r="BJ37" s="26">
        <v>7457.9774215426896</v>
      </c>
      <c r="BK37" s="26">
        <v>6735.5748635819</v>
      </c>
      <c r="BL37" s="26">
        <v>7.0022738440694496E-2</v>
      </c>
      <c r="BM37" s="26">
        <v>0.41872622852034103</v>
      </c>
      <c r="BN37" s="26">
        <v>8571.7003270420792</v>
      </c>
      <c r="BO37" s="26">
        <v>6641.6745385124595</v>
      </c>
      <c r="BP37" s="26">
        <v>6006.3639551197502</v>
      </c>
      <c r="BQ37" s="26">
        <v>7.9927413130353606E-2</v>
      </c>
      <c r="BR37" s="26">
        <v>0.58127377147966097</v>
      </c>
      <c r="BS37" s="26">
        <v>27841.398999999801</v>
      </c>
      <c r="BT37" s="26">
        <v>-6.8845992014423798</v>
      </c>
      <c r="BU37" s="26">
        <v>-209.23331759308601</v>
      </c>
      <c r="BV37" s="26">
        <v>28.589798396423902</v>
      </c>
      <c r="BW37" s="26">
        <v>613.08999999999799</v>
      </c>
      <c r="BX37" s="26">
        <v>626.47199999999998</v>
      </c>
      <c r="BY37" s="26">
        <v>629.29000000000201</v>
      </c>
      <c r="BZ37" s="26">
        <v>576.07000000000005</v>
      </c>
      <c r="CA37" s="26">
        <v>-0.99844807884952202</v>
      </c>
      <c r="CB37" s="26">
        <v>-556.17914285714301</v>
      </c>
      <c r="CC37" s="26">
        <v>254.10999999999899</v>
      </c>
      <c r="CD37" s="26">
        <v>73129.100000000006</v>
      </c>
      <c r="CE37" s="26">
        <v>0.52231012745205696</v>
      </c>
      <c r="CF37" s="26">
        <v>1.3994497731575599</v>
      </c>
      <c r="CG37" s="26">
        <v>1.1390020463697199</v>
      </c>
      <c r="CH37" s="26">
        <v>170.301847482055</v>
      </c>
      <c r="CI37" s="26">
        <v>109.274182251699</v>
      </c>
      <c r="CJ37" s="26">
        <v>200.58978323384099</v>
      </c>
      <c r="CK37" s="26">
        <v>562.92000000000201</v>
      </c>
      <c r="CL37" s="26">
        <v>564.16899999999896</v>
      </c>
      <c r="CM37" s="26">
        <v>556.88999999999896</v>
      </c>
      <c r="CN37" s="26">
        <v>554.35999999999899</v>
      </c>
      <c r="CO37" s="26">
        <v>567.02599999999995</v>
      </c>
      <c r="CP37" s="26">
        <v>556.11</v>
      </c>
      <c r="CQ37" s="26">
        <v>8953.3099999999795</v>
      </c>
      <c r="CR37" s="26">
        <v>563.16899999999998</v>
      </c>
      <c r="CS37" s="26">
        <v>1</v>
      </c>
      <c r="CT37" s="26">
        <v>95.919970512800901</v>
      </c>
      <c r="CU37" s="26">
        <v>0.79730472972120703</v>
      </c>
      <c r="CV37" s="26">
        <v>0.56546794245180498</v>
      </c>
      <c r="CW37" s="26">
        <v>0.211071490314335</v>
      </c>
      <c r="CX37" s="26">
        <v>402.19279919069299</v>
      </c>
      <c r="CY37" s="26">
        <v>17.276</v>
      </c>
      <c r="CZ37" s="26">
        <v>12122.54</v>
      </c>
      <c r="DA37" s="26">
        <v>84.031999999999897</v>
      </c>
      <c r="DB37" s="40">
        <v>7.5290902821296499E-11</v>
      </c>
      <c r="DC37" s="40">
        <v>-3.5900737204617201E-5</v>
      </c>
      <c r="DD37" s="26">
        <v>58.290999999999997</v>
      </c>
      <c r="DE37" s="26">
        <v>-2</v>
      </c>
      <c r="DF37" s="26">
        <v>674.09999999999798</v>
      </c>
      <c r="DG37" s="26">
        <v>1222.0999999999899</v>
      </c>
      <c r="DH37" s="26">
        <v>810.20000000000198</v>
      </c>
      <c r="DI37" s="26">
        <v>-7.8999999999999702</v>
      </c>
      <c r="DJ37" s="26">
        <v>44.879847767269098</v>
      </c>
      <c r="DK37" s="26">
        <v>0.92754419927151299</v>
      </c>
      <c r="DL37" s="26">
        <v>0.23170830662303399</v>
      </c>
      <c r="DM37" s="26">
        <v>0.29321156020807199</v>
      </c>
      <c r="DN37" s="26">
        <v>131.159999999999</v>
      </c>
      <c r="DO37" s="26">
        <v>286.62799999999999</v>
      </c>
      <c r="DP37" s="26">
        <v>-11.06</v>
      </c>
      <c r="DQ37" s="26">
        <v>158.28</v>
      </c>
      <c r="DR37" s="26">
        <v>-53.730000000000103</v>
      </c>
      <c r="DS37" s="26">
        <v>185.01999999999899</v>
      </c>
      <c r="DT37" s="26">
        <v>19.139999999999901</v>
      </c>
      <c r="DU37" s="26">
        <v>163.599999999999</v>
      </c>
      <c r="DV37" s="26">
        <v>1071.5999999999899</v>
      </c>
      <c r="DW37" s="26">
        <v>23.979999999999901</v>
      </c>
      <c r="DX37" s="26">
        <v>-87.850000000000506</v>
      </c>
      <c r="DY37" s="26">
        <v>918.79999999999802</v>
      </c>
      <c r="DZ37" s="26">
        <v>-124.7</v>
      </c>
      <c r="EA37" s="26">
        <v>-279.19999999999902</v>
      </c>
      <c r="EB37" s="26">
        <v>7440.5799999999899</v>
      </c>
      <c r="EC37" s="26">
        <v>3142.8299999999799</v>
      </c>
      <c r="ED37" s="26">
        <v>479.96</v>
      </c>
      <c r="EE37" s="26">
        <v>2482.2999999999902</v>
      </c>
      <c r="EF37" s="26">
        <v>418.06</v>
      </c>
      <c r="EG37" s="26">
        <v>-374.21</v>
      </c>
      <c r="EH37" s="26">
        <v>-66.250000000000099</v>
      </c>
      <c r="EI37" s="26">
        <v>33.26</v>
      </c>
      <c r="EJ37" s="26">
        <v>50.129999999999697</v>
      </c>
      <c r="EK37" s="26">
        <v>-2700.4499999999898</v>
      </c>
      <c r="EL37" s="26">
        <v>1591.01968835555</v>
      </c>
      <c r="EM37" s="26">
        <v>1054.55032697653</v>
      </c>
      <c r="EN37" s="26">
        <v>4.4747359117615</v>
      </c>
      <c r="EO37" s="26">
        <v>6.3297626797295496</v>
      </c>
      <c r="EP37" s="26">
        <v>5.0172484760098301</v>
      </c>
      <c r="EQ37" s="26">
        <v>1E-3</v>
      </c>
      <c r="ER37" s="26">
        <v>374.04662311158802</v>
      </c>
      <c r="ES37" s="26">
        <v>762.57111218588398</v>
      </c>
      <c r="ET37" s="26">
        <v>1528.36550298986</v>
      </c>
      <c r="EU37" s="26">
        <v>674.555795848613</v>
      </c>
      <c r="EV37" s="26">
        <v>511.15886789614399</v>
      </c>
      <c r="EW37" s="26">
        <v>1412.2499686026499</v>
      </c>
      <c r="EX37" s="26">
        <v>76879</v>
      </c>
      <c r="EY37" s="26">
        <v>66.427425719997501</v>
      </c>
      <c r="EZ37" s="26">
        <v>10.2614688873291</v>
      </c>
      <c r="FA37" s="26">
        <v>13.631625175476</v>
      </c>
      <c r="FB37" s="26">
        <v>27</v>
      </c>
      <c r="FC37" s="26">
        <v>3</v>
      </c>
      <c r="FD37" s="26">
        <v>2</v>
      </c>
      <c r="FE37" s="26">
        <v>61</v>
      </c>
      <c r="FF37" s="26">
        <v>5</v>
      </c>
      <c r="FG37" s="26">
        <v>1</v>
      </c>
      <c r="FH37" s="26">
        <v>38</v>
      </c>
      <c r="FI37" s="26">
        <v>7</v>
      </c>
      <c r="FJ37" s="26">
        <v>3</v>
      </c>
      <c r="FK37" s="26">
        <v>522</v>
      </c>
      <c r="FL37" s="26">
        <v>1910</v>
      </c>
      <c r="FM37" s="26">
        <v>1907</v>
      </c>
      <c r="FN37" s="26">
        <v>546.969999999999</v>
      </c>
      <c r="FO37" s="26">
        <v>3341.3</v>
      </c>
      <c r="FP37" s="26">
        <v>3183.6999999999898</v>
      </c>
      <c r="FQ37" s="26">
        <v>5068.3</v>
      </c>
      <c r="FR37" s="26">
        <v>10308.959999999901</v>
      </c>
      <c r="FS37" s="26">
        <v>26.545949788515401</v>
      </c>
      <c r="FT37" s="26">
        <v>377.349999999999</v>
      </c>
      <c r="FU37" s="26">
        <v>50413</v>
      </c>
      <c r="FV37" s="26">
        <v>10094.85</v>
      </c>
      <c r="FW37" s="26">
        <v>43012</v>
      </c>
      <c r="FX37" s="40">
        <v>3.6626379250977799E-13</v>
      </c>
      <c r="FY37" s="26">
        <v>2401.6602509191798</v>
      </c>
      <c r="FZ37" s="26">
        <v>9328.3475034112398</v>
      </c>
      <c r="GA37" s="26">
        <v>8681.9425961997895</v>
      </c>
      <c r="GB37" s="26">
        <v>4598.1498820155002</v>
      </c>
      <c r="GC37" s="26">
        <v>6665.7251173536597</v>
      </c>
      <c r="GD37" s="26">
        <v>7622.4117628859703</v>
      </c>
      <c r="GE37" s="26">
        <v>568</v>
      </c>
      <c r="GF37" s="26">
        <v>699.26300000000003</v>
      </c>
      <c r="GG37" s="26">
        <v>642.94299999999896</v>
      </c>
      <c r="GH37" s="26">
        <v>1115.913</v>
      </c>
      <c r="GI37" s="26">
        <v>12111.120999999899</v>
      </c>
      <c r="GJ37" s="26">
        <v>11691.4839999999</v>
      </c>
      <c r="GK37" s="26">
        <v>15730.2779999999</v>
      </c>
      <c r="GL37" s="26">
        <v>928.94000000000199</v>
      </c>
      <c r="GM37" s="26">
        <v>1949.5309999999899</v>
      </c>
      <c r="GN37" s="26">
        <v>2225.2910000000002</v>
      </c>
      <c r="GO37" s="26">
        <v>-448.12999999999801</v>
      </c>
      <c r="GP37" s="26">
        <v>13094.3264499999</v>
      </c>
      <c r="GQ37" s="26">
        <v>125798.740151958</v>
      </c>
      <c r="GR37" s="26">
        <v>8.33735145797786</v>
      </c>
      <c r="GS37" s="26">
        <v>-2.1167427258559401</v>
      </c>
      <c r="GT37" s="26">
        <v>-6.9465151271733703</v>
      </c>
      <c r="GU37" s="26">
        <v>5.7061731211076197</v>
      </c>
      <c r="GV37" s="26">
        <v>5.7352768184504699</v>
      </c>
    </row>
    <row r="38" spans="38:204" x14ac:dyDescent="0.25">
      <c r="AL38" s="26" t="s">
        <v>204</v>
      </c>
      <c r="AM38" s="26">
        <v>9</v>
      </c>
      <c r="AN38" s="26">
        <v>6.0300448430493099E-2</v>
      </c>
      <c r="AO38" s="26">
        <v>1284.7</v>
      </c>
      <c r="AP38" s="26">
        <v>1277.6899999999901</v>
      </c>
      <c r="AQ38" s="26">
        <v>223.47399999999899</v>
      </c>
      <c r="AR38" s="26">
        <v>71.115731831438296</v>
      </c>
      <c r="AS38" s="26">
        <v>12.152999999999899</v>
      </c>
      <c r="AT38" s="26">
        <v>42.642800000000001</v>
      </c>
      <c r="AU38" s="26">
        <v>2.40841465549433E-2</v>
      </c>
      <c r="AV38" s="26">
        <v>-443.29619047619002</v>
      </c>
      <c r="AW38" s="26">
        <v>164.58211102377601</v>
      </c>
      <c r="AX38" s="26">
        <v>9.0000000000011902</v>
      </c>
      <c r="AY38" s="26">
        <v>5.0107566505286803E-3</v>
      </c>
      <c r="AZ38" s="26">
        <v>2.1644125925120598E-2</v>
      </c>
      <c r="BA38" s="26">
        <v>4.1061382699522399E-2</v>
      </c>
      <c r="BB38" s="26">
        <v>0.47111469027513703</v>
      </c>
      <c r="BC38" s="26">
        <v>687.193957989875</v>
      </c>
      <c r="BD38" s="26">
        <v>623.57921005411902</v>
      </c>
      <c r="BE38" s="26">
        <v>441.51248191549797</v>
      </c>
      <c r="BF38" s="26">
        <v>209.69380518414101</v>
      </c>
      <c r="BG38" s="26">
        <v>0.52888530972486403</v>
      </c>
      <c r="BH38" s="26">
        <v>1.27601502182515</v>
      </c>
      <c r="BI38" s="26">
        <v>1225.7097011649801</v>
      </c>
      <c r="BJ38" s="26">
        <v>443.97639749180399</v>
      </c>
      <c r="BK38" s="26">
        <v>303.92127163984497</v>
      </c>
      <c r="BL38" s="26">
        <v>1.49825674495248E-2</v>
      </c>
      <c r="BM38" s="26">
        <v>0.471845448427687</v>
      </c>
      <c r="BN38" s="26">
        <v>2682.04530715999</v>
      </c>
      <c r="BO38" s="26">
        <v>1676.8105024356701</v>
      </c>
      <c r="BP38" s="26">
        <v>1433.7053064066299</v>
      </c>
      <c r="BQ38" s="26">
        <v>6.5876944268277907E-2</v>
      </c>
      <c r="BR38" s="26">
        <v>0.52815455157231195</v>
      </c>
      <c r="BS38" s="26">
        <v>9134.3489999999892</v>
      </c>
      <c r="BT38" s="26">
        <v>30.346181750440099</v>
      </c>
      <c r="BU38" s="26">
        <v>-72.842436620631602</v>
      </c>
      <c r="BV38" s="26">
        <v>24.713249692018302</v>
      </c>
      <c r="BW38" s="26">
        <v>205.35999999999899</v>
      </c>
      <c r="BX38" s="26">
        <v>207.236999999999</v>
      </c>
      <c r="BY38" s="26">
        <v>213.04999999999899</v>
      </c>
      <c r="BZ38" s="26">
        <v>226.62</v>
      </c>
      <c r="CA38" s="26">
        <v>2.7872978265202302</v>
      </c>
      <c r="CB38" s="26">
        <v>-443.29619047619002</v>
      </c>
      <c r="CC38" s="26">
        <v>100.16</v>
      </c>
      <c r="CD38" s="26">
        <v>26054.999999999902</v>
      </c>
      <c r="CE38" s="26">
        <v>0.578728800704298</v>
      </c>
      <c r="CF38" s="26">
        <v>0.96279758645713398</v>
      </c>
      <c r="CG38" s="26">
        <v>1.08405598682578</v>
      </c>
      <c r="CH38" s="26">
        <v>107.749814644655</v>
      </c>
      <c r="CI38" s="26">
        <v>47.6272790766808</v>
      </c>
      <c r="CJ38" s="26">
        <v>156.29780246234401</v>
      </c>
      <c r="CK38" s="26">
        <v>228.759999999999</v>
      </c>
      <c r="CL38" s="26">
        <v>228.608</v>
      </c>
      <c r="CM38" s="26">
        <v>221.79999999999899</v>
      </c>
      <c r="CN38" s="26">
        <v>239.71</v>
      </c>
      <c r="CO38" s="26">
        <v>234.86500000000001</v>
      </c>
      <c r="CP38" s="26">
        <v>231.88999999999899</v>
      </c>
      <c r="CQ38" s="26">
        <v>3136.36</v>
      </c>
      <c r="CR38" s="26">
        <v>229.00199999999899</v>
      </c>
      <c r="CS38" s="26">
        <v>1</v>
      </c>
      <c r="CT38" s="26">
        <v>95.919970512800901</v>
      </c>
      <c r="CU38" s="26">
        <v>0.138522608794133</v>
      </c>
      <c r="CV38" s="26">
        <v>5.4807001032014298E-3</v>
      </c>
      <c r="CW38" s="26">
        <v>0.99034410624754299</v>
      </c>
      <c r="CX38" s="26">
        <v>164.58211102377601</v>
      </c>
      <c r="CY38" s="26">
        <v>-4.8479999999999901</v>
      </c>
      <c r="CZ38" s="26">
        <v>4610.3900000000003</v>
      </c>
      <c r="DA38" s="26">
        <v>17.459</v>
      </c>
      <c r="DB38" s="40">
        <v>4.8121637174221103E-11</v>
      </c>
      <c r="DC38" s="26">
        <v>1.57992495183772E-4</v>
      </c>
      <c r="DD38" s="26">
        <v>45.769999999999897</v>
      </c>
      <c r="DE38" s="26">
        <v>9</v>
      </c>
      <c r="DF38" s="26">
        <v>347.5</v>
      </c>
      <c r="DG38" s="26">
        <v>297.39999999999998</v>
      </c>
      <c r="DH38" s="26">
        <v>238.29999999999899</v>
      </c>
      <c r="DI38" s="26">
        <v>429.9</v>
      </c>
      <c r="DJ38" s="26">
        <v>28.684630808808901</v>
      </c>
      <c r="DK38" s="26">
        <v>0.27202930828410399</v>
      </c>
      <c r="DL38" s="26">
        <v>0.93632666854771596</v>
      </c>
      <c r="DM38" s="26">
        <v>0.22201897486657801</v>
      </c>
      <c r="DN38" s="26">
        <v>57.279999999999802</v>
      </c>
      <c r="DO38" s="26">
        <v>120.946</v>
      </c>
      <c r="DP38" s="26">
        <v>5.8799999999999901</v>
      </c>
      <c r="DQ38" s="26">
        <v>66.089999999999904</v>
      </c>
      <c r="DR38" s="26">
        <v>26.49</v>
      </c>
      <c r="DS38" s="26">
        <v>93.32</v>
      </c>
      <c r="DT38" s="26">
        <v>-4.8099999999999898</v>
      </c>
      <c r="DU38" s="26">
        <v>-55.499999999999901</v>
      </c>
      <c r="DV38" s="26">
        <v>429.49999999999898</v>
      </c>
      <c r="DW38" s="26">
        <v>23.1299999999999</v>
      </c>
      <c r="DX38" s="26">
        <v>15.73</v>
      </c>
      <c r="DY38" s="26">
        <v>393.79999999999899</v>
      </c>
      <c r="DZ38" s="26">
        <v>-7.8</v>
      </c>
      <c r="EA38" s="26">
        <v>-13.3</v>
      </c>
      <c r="EB38" s="26">
        <v>2860.93</v>
      </c>
      <c r="EC38" s="26">
        <v>1211.1300000000001</v>
      </c>
      <c r="ED38" s="26">
        <v>208.79</v>
      </c>
      <c r="EE38" s="26">
        <v>1002.5</v>
      </c>
      <c r="EF38" s="26">
        <v>162.27999999999901</v>
      </c>
      <c r="EG38" s="26">
        <v>-55.61</v>
      </c>
      <c r="EH38" s="26">
        <v>-16.97</v>
      </c>
      <c r="EI38" s="26">
        <v>50.169999999999902</v>
      </c>
      <c r="EJ38" s="26">
        <v>-85.58</v>
      </c>
      <c r="EK38" s="26">
        <v>-699.78</v>
      </c>
      <c r="EL38" s="26">
        <v>687.193957989875</v>
      </c>
      <c r="EM38" s="26">
        <v>235.592598059343</v>
      </c>
      <c r="EN38" s="26">
        <v>0.66709663031579003</v>
      </c>
      <c r="EO38" s="26">
        <v>0.797974452342748</v>
      </c>
      <c r="EP38" s="26">
        <v>0.54672726108014402</v>
      </c>
      <c r="EQ38" s="26">
        <v>1E-3</v>
      </c>
      <c r="ER38" s="26">
        <v>129.16270267912401</v>
      </c>
      <c r="ES38" s="26">
        <v>212.48342982314699</v>
      </c>
      <c r="ET38" s="26">
        <v>449.99485972430398</v>
      </c>
      <c r="EU38" s="26">
        <v>231.01577921090399</v>
      </c>
      <c r="EV38" s="26">
        <v>201.82939663936801</v>
      </c>
      <c r="EW38" s="26">
        <v>492.30318741023399</v>
      </c>
      <c r="EX38" s="26">
        <v>27279</v>
      </c>
      <c r="EY38" s="26">
        <v>23.3025588799979</v>
      </c>
      <c r="EZ38" s="26">
        <v>9.8314075469970703</v>
      </c>
      <c r="FA38" s="26">
        <v>11.1311321258544</v>
      </c>
      <c r="FB38" s="26">
        <v>10</v>
      </c>
      <c r="FC38" s="26">
        <v>0</v>
      </c>
      <c r="FD38" s="26">
        <v>0</v>
      </c>
      <c r="FE38" s="26">
        <v>27</v>
      </c>
      <c r="FF38" s="26">
        <v>0</v>
      </c>
      <c r="FG38" s="26">
        <v>0</v>
      </c>
      <c r="FH38" s="26">
        <v>16</v>
      </c>
      <c r="FI38" s="26">
        <v>4</v>
      </c>
      <c r="FJ38" s="26">
        <v>0</v>
      </c>
      <c r="FK38" s="26">
        <v>158</v>
      </c>
      <c r="FL38" s="26">
        <v>460</v>
      </c>
      <c r="FM38" s="26">
        <v>791</v>
      </c>
      <c r="FN38" s="26">
        <v>229.55999999999901</v>
      </c>
      <c r="FO38" s="26">
        <v>1339.1</v>
      </c>
      <c r="FP38" s="26">
        <v>1510.6</v>
      </c>
      <c r="FQ38" s="26">
        <v>1852.9</v>
      </c>
      <c r="FR38" s="26">
        <v>1677.15</v>
      </c>
      <c r="FS38" s="26">
        <v>16.839262529366799</v>
      </c>
      <c r="FT38" s="26">
        <v>162.319999999999</v>
      </c>
      <c r="FU38" s="26">
        <v>20070</v>
      </c>
      <c r="FV38" s="26">
        <v>3251.72999999999</v>
      </c>
      <c r="FW38" s="26">
        <v>17644</v>
      </c>
      <c r="FX38" s="40">
        <v>2.0102602729099599E-13</v>
      </c>
      <c r="FY38" s="26">
        <v>623.57921005411902</v>
      </c>
      <c r="FZ38" s="26">
        <v>1238.09659230281</v>
      </c>
      <c r="GA38" s="26">
        <v>2710.9690957922899</v>
      </c>
      <c r="GB38" s="26">
        <v>1077.49814644655</v>
      </c>
      <c r="GC38" s="26">
        <v>1285.9365350703799</v>
      </c>
      <c r="GD38" s="26">
        <v>2500.7648393975101</v>
      </c>
      <c r="GE38" s="26">
        <v>226.909999999999</v>
      </c>
      <c r="GF38" s="26">
        <v>197.70499999999899</v>
      </c>
      <c r="GG38" s="26">
        <v>219.992999999999</v>
      </c>
      <c r="GH38" s="26">
        <v>375.06900000000002</v>
      </c>
      <c r="GI38" s="26">
        <v>4303.326</v>
      </c>
      <c r="GJ38" s="26">
        <v>4126.7290000000003</v>
      </c>
      <c r="GK38" s="26">
        <v>4831.0230000000001</v>
      </c>
      <c r="GL38" s="26">
        <v>364.54500000000002</v>
      </c>
      <c r="GM38" s="26">
        <v>136.85599999999999</v>
      </c>
      <c r="GN38" s="26">
        <v>601.74299999999903</v>
      </c>
      <c r="GO38" s="26">
        <v>-69.599999999999994</v>
      </c>
      <c r="GP38" s="26">
        <v>4330.9464416666697</v>
      </c>
      <c r="GQ38" s="26">
        <v>43869.107039831397</v>
      </c>
      <c r="GR38" s="26">
        <v>3.5860533632285998</v>
      </c>
      <c r="GS38" s="26">
        <v>-1.5476574900220701</v>
      </c>
      <c r="GT38" s="26">
        <v>30.629974683192099</v>
      </c>
      <c r="GU38" s="26">
        <v>9.7326234362214201</v>
      </c>
      <c r="GV38" s="26">
        <v>9.5310867473749799</v>
      </c>
    </row>
    <row r="39" spans="38:204" x14ac:dyDescent="0.25">
      <c r="AL39" s="26" t="s">
        <v>205</v>
      </c>
      <c r="AM39" s="26">
        <v>7</v>
      </c>
      <c r="AN39" s="26">
        <v>-1.8420233463035E-2</v>
      </c>
      <c r="AO39" s="26">
        <v>1390.9</v>
      </c>
      <c r="AP39" s="26">
        <v>1393.32</v>
      </c>
      <c r="AQ39" s="26">
        <v>239.58099999999899</v>
      </c>
      <c r="AR39" s="26">
        <v>164.97058618903401</v>
      </c>
      <c r="AS39" s="26">
        <v>-5.8052000000000099</v>
      </c>
      <c r="AT39" s="26">
        <v>45.6983999999999</v>
      </c>
      <c r="AU39" s="26">
        <v>2.88388706941726E-2</v>
      </c>
      <c r="AV39" s="26">
        <v>-471.21180952380899</v>
      </c>
      <c r="AW39" s="26">
        <v>677.67092271603099</v>
      </c>
      <c r="AX39" s="26">
        <v>-12.999999999998201</v>
      </c>
      <c r="AY39" s="26">
        <v>3.8980301521914801E-3</v>
      </c>
      <c r="AZ39" s="26">
        <v>2.06820931702483E-2</v>
      </c>
      <c r="BA39" s="26">
        <v>2.7227522615477399E-2</v>
      </c>
      <c r="BB39" s="26">
        <v>0.41772046057761802</v>
      </c>
      <c r="BC39" s="26">
        <v>1131.47024587838</v>
      </c>
      <c r="BD39" s="26">
        <v>987.16133834406003</v>
      </c>
      <c r="BE39" s="26">
        <v>659.58250297675897</v>
      </c>
      <c r="BF39" s="26">
        <v>288.15560040054299</v>
      </c>
      <c r="BG39" s="26">
        <v>0.58227953942238198</v>
      </c>
      <c r="BH39" s="26">
        <v>2.6781099986479902</v>
      </c>
      <c r="BI39" s="26">
        <v>3663.2830850241298</v>
      </c>
      <c r="BJ39" s="26">
        <v>2539.26523893488</v>
      </c>
      <c r="BK39" s="26">
        <v>2017.8727160108999</v>
      </c>
      <c r="BL39" s="26">
        <v>4.9353901856572402E-2</v>
      </c>
      <c r="BM39" s="26">
        <v>0.40891410861998201</v>
      </c>
      <c r="BN39" s="26">
        <v>1738.9250473028001</v>
      </c>
      <c r="BO39" s="26">
        <v>1020.71379099894</v>
      </c>
      <c r="BP39" s="26">
        <v>772.71300386922803</v>
      </c>
      <c r="BQ39" s="26">
        <v>2.0907260078032199E-2</v>
      </c>
      <c r="BR39" s="26">
        <v>0.59062913851524501</v>
      </c>
      <c r="BS39" s="26">
        <v>11995.546</v>
      </c>
      <c r="BT39" s="26">
        <v>-43.938916747698201</v>
      </c>
      <c r="BU39" s="26">
        <v>-120.218743757263</v>
      </c>
      <c r="BV39" s="26">
        <v>21.639834589329698</v>
      </c>
      <c r="BW39" s="26">
        <v>234.10999999999899</v>
      </c>
      <c r="BX39" s="26">
        <v>234.19699999999901</v>
      </c>
      <c r="BY39" s="26">
        <v>235.89</v>
      </c>
      <c r="BZ39" s="26">
        <v>237.63</v>
      </c>
      <c r="CA39" s="26">
        <v>-4.3515141376796098</v>
      </c>
      <c r="CB39" s="26">
        <v>-471.21180952380899</v>
      </c>
      <c r="CC39" s="26">
        <v>105</v>
      </c>
      <c r="CD39" s="26">
        <v>29696.699999999899</v>
      </c>
      <c r="CE39" s="26">
        <v>0.52250979922468599</v>
      </c>
      <c r="CF39" s="26">
        <v>1.2259409858817101</v>
      </c>
      <c r="CG39" s="26">
        <v>0.89113348202130604</v>
      </c>
      <c r="CH39" s="26">
        <v>145.328351119161</v>
      </c>
      <c r="CI39" s="26">
        <v>154.07273251785301</v>
      </c>
      <c r="CJ39" s="26">
        <v>121.96019748905201</v>
      </c>
      <c r="CK39" s="26">
        <v>239.12</v>
      </c>
      <c r="CL39" s="26">
        <v>232.73699999999999</v>
      </c>
      <c r="CM39" s="26">
        <v>237.14999999999901</v>
      </c>
      <c r="CN39" s="26">
        <v>242.45</v>
      </c>
      <c r="CO39" s="26">
        <v>237.971</v>
      </c>
      <c r="CP39" s="26">
        <v>245.80999999999901</v>
      </c>
      <c r="CQ39" s="26">
        <v>3591.45</v>
      </c>
      <c r="CR39" s="26">
        <v>245.26199999999901</v>
      </c>
      <c r="CS39" s="26">
        <v>1</v>
      </c>
      <c r="CT39" s="26">
        <v>95.919970512800901</v>
      </c>
      <c r="CU39" s="26">
        <v>0.98857735529629798</v>
      </c>
      <c r="CV39" s="26">
        <v>0.15069613182981301</v>
      </c>
      <c r="CW39" s="26">
        <v>2.3427434574107299E-3</v>
      </c>
      <c r="CX39" s="26">
        <v>677.67092271603099</v>
      </c>
      <c r="CY39" s="26">
        <v>2.6249999999999898</v>
      </c>
      <c r="CZ39" s="26">
        <v>5007.8899999999903</v>
      </c>
      <c r="DA39" s="26">
        <v>16.8829999999999</v>
      </c>
      <c r="DB39" s="40">
        <v>5.1685445414629903E-11</v>
      </c>
      <c r="DC39" s="26">
        <v>-2.2880351335913401E-4</v>
      </c>
      <c r="DD39" s="26">
        <v>46.759</v>
      </c>
      <c r="DE39" s="26">
        <v>-13</v>
      </c>
      <c r="DF39" s="26">
        <v>638.29999999999905</v>
      </c>
      <c r="DG39" s="26">
        <v>894.69999999999902</v>
      </c>
      <c r="DH39" s="26">
        <v>803.9</v>
      </c>
      <c r="DI39" s="26">
        <v>428.5</v>
      </c>
      <c r="DJ39" s="26">
        <v>30.808966755223501</v>
      </c>
      <c r="DK39" s="26">
        <v>0.67467836685374805</v>
      </c>
      <c r="DL39" s="26">
        <v>0.73372878881401604</v>
      </c>
      <c r="DM39" s="26">
        <v>8.03191494294829E-2</v>
      </c>
      <c r="DN39" s="26">
        <v>129.51999999999899</v>
      </c>
      <c r="DO39" s="26">
        <v>126.554</v>
      </c>
      <c r="DP39" s="26">
        <v>-16.469999999999899</v>
      </c>
      <c r="DQ39" s="26">
        <v>67.91</v>
      </c>
      <c r="DR39" s="26">
        <v>25.489999999999899</v>
      </c>
      <c r="DS39" s="26">
        <v>106.5</v>
      </c>
      <c r="DT39" s="26">
        <v>-10.3399999999999</v>
      </c>
      <c r="DU39" s="26">
        <v>-51.999999999999901</v>
      </c>
      <c r="DV39" s="26">
        <v>305.3</v>
      </c>
      <c r="DW39" s="26">
        <v>54.3599999999999</v>
      </c>
      <c r="DX39" s="26">
        <v>18.96</v>
      </c>
      <c r="DY39" s="26">
        <v>479.599999999999</v>
      </c>
      <c r="DZ39" s="26">
        <v>-12.399999999999901</v>
      </c>
      <c r="EA39" s="26">
        <v>-69.5</v>
      </c>
      <c r="EB39" s="26">
        <v>3052.82</v>
      </c>
      <c r="EC39" s="26">
        <v>1313.49</v>
      </c>
      <c r="ED39" s="26">
        <v>214.08</v>
      </c>
      <c r="EE39" s="26">
        <v>1185.5999999999999</v>
      </c>
      <c r="EF39" s="26">
        <v>174.58999999999901</v>
      </c>
      <c r="EG39" s="26">
        <v>-56.999999999999901</v>
      </c>
      <c r="EH39" s="26">
        <v>-17.37</v>
      </c>
      <c r="EI39" s="26">
        <v>67.5</v>
      </c>
      <c r="EJ39" s="26">
        <v>-39.590000000000003</v>
      </c>
      <c r="EK39" s="26">
        <v>-897.07999999999902</v>
      </c>
      <c r="EL39" s="26">
        <v>1131.47024587838</v>
      </c>
      <c r="EM39" s="26">
        <v>364.962496993814</v>
      </c>
      <c r="EN39" s="26">
        <v>1.0239640417379701</v>
      </c>
      <c r="EO39" s="26">
        <v>0.92427749892827504</v>
      </c>
      <c r="EP39" s="26">
        <v>1.06436134244532</v>
      </c>
      <c r="EQ39" s="26">
        <v>1E-3</v>
      </c>
      <c r="ER39" s="26">
        <v>243.51546719420301</v>
      </c>
      <c r="ES39" s="26">
        <v>1590.8426851803599</v>
      </c>
      <c r="ET39" s="26">
        <v>801.98997935897398</v>
      </c>
      <c r="EU39" s="26">
        <v>455.83308195719599</v>
      </c>
      <c r="EV39" s="26">
        <v>1308.0573091450599</v>
      </c>
      <c r="EW39" s="26">
        <v>792.63419909200104</v>
      </c>
      <c r="EX39" s="26">
        <v>30714</v>
      </c>
      <c r="EY39" s="26">
        <v>29.484197059997101</v>
      </c>
      <c r="EZ39" s="26">
        <v>-24.766893386840799</v>
      </c>
      <c r="FA39" s="26">
        <v>-9.0248746871948207</v>
      </c>
      <c r="FB39" s="26">
        <v>13</v>
      </c>
      <c r="FC39" s="26">
        <v>2</v>
      </c>
      <c r="FD39" s="26">
        <v>0</v>
      </c>
      <c r="FE39" s="26">
        <v>20</v>
      </c>
      <c r="FF39" s="26">
        <v>3</v>
      </c>
      <c r="FG39" s="26">
        <v>1</v>
      </c>
      <c r="FH39" s="26">
        <v>16</v>
      </c>
      <c r="FI39" s="26">
        <v>1</v>
      </c>
      <c r="FJ39" s="26">
        <v>1</v>
      </c>
      <c r="FK39" s="26">
        <v>201</v>
      </c>
      <c r="FL39" s="26">
        <v>1288</v>
      </c>
      <c r="FM39" s="26">
        <v>853</v>
      </c>
      <c r="FN39" s="26">
        <v>230.659999999999</v>
      </c>
      <c r="FO39" s="26">
        <v>1309.2</v>
      </c>
      <c r="FP39" s="26">
        <v>1525.8</v>
      </c>
      <c r="FQ39" s="26">
        <v>2018.8</v>
      </c>
      <c r="FR39" s="26">
        <v>2684.16</v>
      </c>
      <c r="FS39" s="26">
        <v>18.153227884161701</v>
      </c>
      <c r="FT39" s="26">
        <v>131.91999999999899</v>
      </c>
      <c r="FU39" s="26">
        <v>20961</v>
      </c>
      <c r="FV39" s="26">
        <v>3590.35</v>
      </c>
      <c r="FW39" s="26">
        <v>18328</v>
      </c>
      <c r="FX39" s="40">
        <v>2.3681549345511301E-13</v>
      </c>
      <c r="FY39" s="26">
        <v>987.16133834406003</v>
      </c>
      <c r="FZ39" s="26">
        <v>3777.6815520085402</v>
      </c>
      <c r="GA39" s="26">
        <v>1738.9250473028001</v>
      </c>
      <c r="GB39" s="26">
        <v>1889.2685645490899</v>
      </c>
      <c r="GC39" s="26">
        <v>3081.45465035707</v>
      </c>
      <c r="GD39" s="26">
        <v>1951.3631598248301</v>
      </c>
      <c r="GE39" s="26">
        <v>235.51</v>
      </c>
      <c r="GF39" s="26">
        <v>248.09299999999899</v>
      </c>
      <c r="GG39" s="26">
        <v>345.93799999999902</v>
      </c>
      <c r="GH39" s="26">
        <v>326.60899999999998</v>
      </c>
      <c r="GI39" s="26">
        <v>5010.7849999999999</v>
      </c>
      <c r="GJ39" s="26">
        <v>4822.6779999999999</v>
      </c>
      <c r="GK39" s="26">
        <v>6984.7610000000004</v>
      </c>
      <c r="GL39" s="26">
        <v>473.459</v>
      </c>
      <c r="GM39" s="26">
        <v>592.02700000000004</v>
      </c>
      <c r="GN39" s="26">
        <v>250.79399999999899</v>
      </c>
      <c r="GO39" s="26">
        <v>-84.850000000000094</v>
      </c>
      <c r="GP39" s="26">
        <v>5626.4892533333204</v>
      </c>
      <c r="GQ39" s="26">
        <v>56598.9175857105</v>
      </c>
      <c r="GR39" s="26">
        <v>9.4604863813228093</v>
      </c>
      <c r="GS39" s="26">
        <v>0.57884686248909101</v>
      </c>
      <c r="GT39" s="26">
        <v>-44.347965631212197</v>
      </c>
      <c r="GU39" s="26">
        <v>4.0900395921810802</v>
      </c>
      <c r="GV39" s="26">
        <v>2.9320906136690499</v>
      </c>
    </row>
    <row r="40" spans="38:204" x14ac:dyDescent="0.25">
      <c r="AL40" s="26" t="s">
        <v>206</v>
      </c>
      <c r="AM40" s="26">
        <v>17</v>
      </c>
      <c r="AN40" s="26">
        <v>-9.0169139465875098E-2</v>
      </c>
      <c r="AO40" s="26">
        <v>3878.6999999999898</v>
      </c>
      <c r="AP40" s="26">
        <v>3896.3999999999901</v>
      </c>
      <c r="AQ40" s="26">
        <v>675.82799999999997</v>
      </c>
      <c r="AR40" s="26">
        <v>247.00548397320901</v>
      </c>
      <c r="AS40" s="26">
        <v>-60.306399999999996</v>
      </c>
      <c r="AT40" s="26">
        <v>110.51799999999901</v>
      </c>
      <c r="AU40" s="26">
        <v>9.9661476748884904E-3</v>
      </c>
      <c r="AV40" s="26">
        <v>-928.270761904761</v>
      </c>
      <c r="AW40" s="26">
        <v>675.44095716830702</v>
      </c>
      <c r="AX40" s="26">
        <v>4.9999999999543503</v>
      </c>
      <c r="AY40" s="26">
        <v>3.0310462866242802E-3</v>
      </c>
      <c r="AZ40" s="26">
        <v>2.34264394994598E-2</v>
      </c>
      <c r="BA40" s="26">
        <v>3.47762689725006E-2</v>
      </c>
      <c r="BB40" s="26">
        <v>0.47490896745618999</v>
      </c>
      <c r="BC40" s="26">
        <v>1019.31514220022</v>
      </c>
      <c r="BD40" s="26">
        <v>2036.3315700185401</v>
      </c>
      <c r="BE40" s="26">
        <v>945.50282909263501</v>
      </c>
      <c r="BF40" s="26">
        <v>301.56587448957401</v>
      </c>
      <c r="BG40" s="26">
        <v>0.52509103254381495</v>
      </c>
      <c r="BH40" s="26">
        <v>13.6139914014548</v>
      </c>
      <c r="BI40" s="26">
        <v>8236.0801475674507</v>
      </c>
      <c r="BJ40" s="26">
        <v>5509.08962767095</v>
      </c>
      <c r="BK40" s="26">
        <v>4560.64849562985</v>
      </c>
      <c r="BL40" s="26">
        <v>5.5492785309889797E-2</v>
      </c>
      <c r="BM40" s="26">
        <v>0.45110160530107701</v>
      </c>
      <c r="BN40" s="26">
        <v>8462.0345200882693</v>
      </c>
      <c r="BO40" s="26">
        <v>6621.6102401726002</v>
      </c>
      <c r="BP40" s="26">
        <v>5890.7319897228399</v>
      </c>
      <c r="BQ40" s="26">
        <v>8.0962631619733494E-2</v>
      </c>
      <c r="BR40" s="26">
        <v>0.54857405462410402</v>
      </c>
      <c r="BS40" s="26">
        <v>27976.807999999801</v>
      </c>
      <c r="BT40" s="26">
        <v>17.347685943195099</v>
      </c>
      <c r="BU40" s="26">
        <v>-313.75338440536001</v>
      </c>
      <c r="BV40" s="26">
        <v>13.6694332784871</v>
      </c>
      <c r="BW40" s="26">
        <v>679.63999999999896</v>
      </c>
      <c r="BX40" s="26">
        <v>689.828000000001</v>
      </c>
      <c r="BY40" s="26">
        <v>692.70000000000198</v>
      </c>
      <c r="BZ40" s="26">
        <v>663.69999999999902</v>
      </c>
      <c r="CA40" s="26">
        <v>2.8089816731901598</v>
      </c>
      <c r="CB40" s="26">
        <v>-928.27076190476498</v>
      </c>
      <c r="CC40" s="26">
        <v>298.289999999999</v>
      </c>
      <c r="CD40" s="26">
        <v>82258.3</v>
      </c>
      <c r="CE40" s="26">
        <v>0.50949686039075304</v>
      </c>
      <c r="CF40" s="26">
        <v>1.2787445201887999</v>
      </c>
      <c r="CG40" s="26">
        <v>1.10192565405948</v>
      </c>
      <c r="CH40" s="26">
        <v>150.12652770050201</v>
      </c>
      <c r="CI40" s="26">
        <v>108.00224866270401</v>
      </c>
      <c r="CJ40" s="26">
        <v>149.18283162767699</v>
      </c>
      <c r="CK40" s="26">
        <v>661.83000000000095</v>
      </c>
      <c r="CL40" s="26">
        <v>662.38499999999999</v>
      </c>
      <c r="CM40" s="26">
        <v>656.52</v>
      </c>
      <c r="CN40" s="26">
        <v>674.82</v>
      </c>
      <c r="CO40" s="26">
        <v>678.80900000000099</v>
      </c>
      <c r="CP40" s="26">
        <v>666.63</v>
      </c>
      <c r="CQ40" s="26">
        <v>9881.1099999999497</v>
      </c>
      <c r="CR40" s="26">
        <v>665.61599999999896</v>
      </c>
      <c r="CS40" s="26">
        <v>1</v>
      </c>
      <c r="CT40" s="26">
        <v>95.919970512800901</v>
      </c>
      <c r="CU40" s="26">
        <v>0.53605489356275804</v>
      </c>
      <c r="CV40" s="26">
        <v>0.126127391961114</v>
      </c>
      <c r="CW40" s="26">
        <v>0.83470775250054197</v>
      </c>
      <c r="CX40" s="26">
        <v>675.44095716830702</v>
      </c>
      <c r="CY40" s="26">
        <v>10.398999999999999</v>
      </c>
      <c r="CZ40" s="26">
        <v>13940.53</v>
      </c>
      <c r="DA40" s="26">
        <v>70.378999999999706</v>
      </c>
      <c r="DB40" s="40">
        <v>7.8118404568084206E-11</v>
      </c>
      <c r="DC40" s="40">
        <v>9.0516166038916095E-5</v>
      </c>
      <c r="DD40" s="26">
        <v>84.799000000000007</v>
      </c>
      <c r="DE40" s="26">
        <v>5</v>
      </c>
      <c r="DF40" s="26">
        <v>847.29999999999598</v>
      </c>
      <c r="DG40" s="26">
        <v>1189.3999999999901</v>
      </c>
      <c r="DH40" s="26">
        <v>930.50000000000398</v>
      </c>
      <c r="DI40" s="26">
        <v>504.6</v>
      </c>
      <c r="DJ40" s="26">
        <v>46.565281773270002</v>
      </c>
      <c r="DK40" s="26">
        <v>0.27825332391131802</v>
      </c>
      <c r="DL40" s="26">
        <v>3.3033908456291797E-2</v>
      </c>
      <c r="DM40" s="26">
        <v>0.95993950258565897</v>
      </c>
      <c r="DN40" s="26">
        <v>123.239999999999</v>
      </c>
      <c r="DO40" s="26">
        <v>335.25299999999902</v>
      </c>
      <c r="DP40" s="26">
        <v>22.25</v>
      </c>
      <c r="DQ40" s="26">
        <v>187.62</v>
      </c>
      <c r="DR40" s="26">
        <v>-31.47</v>
      </c>
      <c r="DS40" s="26">
        <v>206.51</v>
      </c>
      <c r="DT40" s="26">
        <v>32.879999999999903</v>
      </c>
      <c r="DU40" s="26">
        <v>110.3</v>
      </c>
      <c r="DV40" s="26">
        <v>1355.0999999999899</v>
      </c>
      <c r="DW40" s="26">
        <v>27.689999999999898</v>
      </c>
      <c r="DX40" s="26">
        <v>-76.700000000000102</v>
      </c>
      <c r="DY40" s="26">
        <v>1015.89999999999</v>
      </c>
      <c r="DZ40" s="26">
        <v>-113.2</v>
      </c>
      <c r="EA40" s="26">
        <v>-281.49999999999898</v>
      </c>
      <c r="EB40" s="26">
        <v>8598.79000000001</v>
      </c>
      <c r="EC40" s="26">
        <v>3618.6899999999901</v>
      </c>
      <c r="ED40" s="26">
        <v>574.22000000000196</v>
      </c>
      <c r="EE40" s="26">
        <v>2929.7999999999902</v>
      </c>
      <c r="EF40" s="26">
        <v>484.37000000000103</v>
      </c>
      <c r="EG40" s="26">
        <v>-393.270000000001</v>
      </c>
      <c r="EH40" s="26">
        <v>-86.340000000000202</v>
      </c>
      <c r="EI40" s="26">
        <v>62.819999999999702</v>
      </c>
      <c r="EJ40" s="26">
        <v>-97.55</v>
      </c>
      <c r="EK40" s="26">
        <v>-2884.8099999999899</v>
      </c>
      <c r="EL40" s="26">
        <v>1019.31514220022</v>
      </c>
      <c r="EM40" s="26">
        <v>1044.9582759668001</v>
      </c>
      <c r="EN40" s="26">
        <v>9.8112127248724708</v>
      </c>
      <c r="EO40" s="26">
        <v>8.7991353498129197</v>
      </c>
      <c r="EP40" s="26">
        <v>3.4089747750048298</v>
      </c>
      <c r="EQ40" s="26">
        <v>1E-3</v>
      </c>
      <c r="ER40" s="26">
        <v>254.47261806249199</v>
      </c>
      <c r="ES40" s="26">
        <v>687.647918033206</v>
      </c>
      <c r="ET40" s="26">
        <v>1136.89829818976</v>
      </c>
      <c r="EU40" s="26">
        <v>492.58367301536703</v>
      </c>
      <c r="EV40" s="26">
        <v>539.86747926176201</v>
      </c>
      <c r="EW40" s="26">
        <v>977.53887986816096</v>
      </c>
      <c r="EX40" s="26">
        <v>86575</v>
      </c>
      <c r="EY40" s="26">
        <v>74.516228220028296</v>
      </c>
      <c r="EZ40" s="26">
        <v>19.360618591308501</v>
      </c>
      <c r="FA40" s="26">
        <v>26.092746734619102</v>
      </c>
      <c r="FB40" s="26">
        <v>27</v>
      </c>
      <c r="FC40" s="26">
        <v>4</v>
      </c>
      <c r="FD40" s="26">
        <v>0</v>
      </c>
      <c r="FE40" s="26">
        <v>62</v>
      </c>
      <c r="FF40" s="26">
        <v>9</v>
      </c>
      <c r="FG40" s="26">
        <v>1</v>
      </c>
      <c r="FH40" s="26">
        <v>52</v>
      </c>
      <c r="FI40" s="26">
        <v>10</v>
      </c>
      <c r="FJ40" s="26">
        <v>3</v>
      </c>
      <c r="FK40" s="26">
        <v>455</v>
      </c>
      <c r="FL40" s="26">
        <v>2067</v>
      </c>
      <c r="FM40" s="26">
        <v>2247</v>
      </c>
      <c r="FN40" s="26">
        <v>660.229999999999</v>
      </c>
      <c r="FO40" s="26">
        <v>3933.2999999999902</v>
      </c>
      <c r="FP40" s="26">
        <v>3994.7</v>
      </c>
      <c r="FQ40" s="26">
        <v>5839.0999999999904</v>
      </c>
      <c r="FR40" s="26">
        <v>9975.0599999999795</v>
      </c>
      <c r="FS40" s="26">
        <v>29.620944670803699</v>
      </c>
      <c r="FT40" s="26">
        <v>435.47999999999797</v>
      </c>
      <c r="FU40" s="26">
        <v>58959</v>
      </c>
      <c r="FV40" s="26">
        <v>10804.33</v>
      </c>
      <c r="FW40" s="26">
        <v>51412</v>
      </c>
      <c r="FX40" s="40">
        <v>3.9599214349259601E-13</v>
      </c>
      <c r="FY40" s="26">
        <v>2065.2028521688198</v>
      </c>
      <c r="FZ40" s="26">
        <v>8562.6515860210802</v>
      </c>
      <c r="GA40" s="26">
        <v>8548.1962444202309</v>
      </c>
      <c r="GB40" s="26">
        <v>4053.4162479135598</v>
      </c>
      <c r="GC40" s="26">
        <v>6696.1394170876501</v>
      </c>
      <c r="GD40" s="26">
        <v>7757.5072446392196</v>
      </c>
      <c r="GE40" s="26">
        <v>661.780000000001</v>
      </c>
      <c r="GF40" s="26">
        <v>655.39700000000005</v>
      </c>
      <c r="GG40" s="26">
        <v>278.820999999999</v>
      </c>
      <c r="GH40" s="26">
        <v>972.92899999999997</v>
      </c>
      <c r="GI40" s="26">
        <v>13286.437</v>
      </c>
      <c r="GJ40" s="26">
        <v>12847.148999999999</v>
      </c>
      <c r="GK40" s="26">
        <v>14690.370999999899</v>
      </c>
      <c r="GL40" s="26">
        <v>678.62800000000198</v>
      </c>
      <c r="GM40" s="26">
        <v>1552.511</v>
      </c>
      <c r="GN40" s="26">
        <v>2265.07599999999</v>
      </c>
      <c r="GO40" s="26">
        <v>-426.91999999999803</v>
      </c>
      <c r="GP40" s="26">
        <v>13212.721006666599</v>
      </c>
      <c r="GQ40" s="26">
        <v>140395.959786069</v>
      </c>
      <c r="GR40" s="26">
        <v>12.3548891691431</v>
      </c>
      <c r="GS40" s="26">
        <v>-1.5480007128826101</v>
      </c>
      <c r="GT40" s="26">
        <v>17.501384050884401</v>
      </c>
      <c r="GU40" s="26">
        <v>7.3286747599839801</v>
      </c>
      <c r="GV40" s="26">
        <v>7.4567400859025597</v>
      </c>
    </row>
    <row r="41" spans="38:204" x14ac:dyDescent="0.25">
      <c r="AL41" s="26" t="s">
        <v>207</v>
      </c>
      <c r="AM41" s="26">
        <v>3</v>
      </c>
      <c r="AN41" s="26">
        <v>-0.17833653846153799</v>
      </c>
      <c r="AO41" s="26">
        <v>589.49999999999898</v>
      </c>
      <c r="AP41" s="26">
        <v>594.66999999999905</v>
      </c>
      <c r="AQ41" s="26">
        <v>104.69099999999899</v>
      </c>
      <c r="AR41" s="26">
        <v>218.012662102051</v>
      </c>
      <c r="AS41" s="26">
        <v>-18.5136</v>
      </c>
      <c r="AT41" s="26">
        <v>14.4537999999999</v>
      </c>
      <c r="AU41" s="26">
        <v>2.6764921506033601E-2</v>
      </c>
      <c r="AV41" s="26">
        <v>-58.059904761904697</v>
      </c>
      <c r="AW41" s="26">
        <v>269.17872592693101</v>
      </c>
      <c r="AX41" s="26">
        <v>10.0000000000003</v>
      </c>
      <c r="AY41" s="26">
        <v>6.2759272888050803E-3</v>
      </c>
      <c r="AZ41" s="26">
        <v>1.89980717796784E-2</v>
      </c>
      <c r="BA41" s="26">
        <v>3.6315327792730903E-2</v>
      </c>
      <c r="BB41" s="26">
        <v>0.39370319389242597</v>
      </c>
      <c r="BC41" s="26">
        <v>140.473075488722</v>
      </c>
      <c r="BD41" s="26">
        <v>1126.88484246898</v>
      </c>
      <c r="BE41" s="26">
        <v>936.30173520368203</v>
      </c>
      <c r="BF41" s="26">
        <v>686.43938674330604</v>
      </c>
      <c r="BG41" s="26">
        <v>0.60629680610757397</v>
      </c>
      <c r="BH41" s="26">
        <v>0.84322986927831201</v>
      </c>
      <c r="BI41" s="26">
        <v>1671.3994245265201</v>
      </c>
      <c r="BJ41" s="26">
        <v>1278.6208575404901</v>
      </c>
      <c r="BK41" s="26">
        <v>1207.1783291854399</v>
      </c>
      <c r="BL41" s="26">
        <v>4.7709281815871502E-2</v>
      </c>
      <c r="BM41" s="26">
        <v>0.40528940310196798</v>
      </c>
      <c r="BN41" s="26">
        <v>3072.8832199599601</v>
      </c>
      <c r="BO41" s="26">
        <v>2441.7277416211</v>
      </c>
      <c r="BP41" s="26">
        <v>2320.1562268458501</v>
      </c>
      <c r="BQ41" s="26">
        <v>0.104548323128535</v>
      </c>
      <c r="BR41" s="26">
        <v>0.59471059689803096</v>
      </c>
      <c r="BS41" s="26">
        <v>8467.9119999999893</v>
      </c>
      <c r="BT41" s="26">
        <v>33.777649600151399</v>
      </c>
      <c r="BU41" s="26">
        <v>-86.504754382005501</v>
      </c>
      <c r="BV41" s="26">
        <v>9.3136067855262095</v>
      </c>
      <c r="BW41" s="26">
        <v>105.819999999999</v>
      </c>
      <c r="BX41" s="26">
        <v>106.337</v>
      </c>
      <c r="BY41" s="26">
        <v>107.74</v>
      </c>
      <c r="BZ41" s="26">
        <v>99.33</v>
      </c>
      <c r="CA41" s="26">
        <v>3.2821708575201201</v>
      </c>
      <c r="CB41" s="26">
        <v>-58.059904761904697</v>
      </c>
      <c r="CC41" s="26">
        <v>46.509999999999899</v>
      </c>
      <c r="CD41" s="26">
        <v>12567.699999999901</v>
      </c>
      <c r="CE41" s="26">
        <v>0.64518958056460696</v>
      </c>
      <c r="CF41" s="26">
        <v>1.41042938653634</v>
      </c>
      <c r="CG41" s="26">
        <v>1.25271162065107</v>
      </c>
      <c r="CH41" s="26">
        <v>582.19830595261703</v>
      </c>
      <c r="CI41" s="26">
        <v>79.961828798166295</v>
      </c>
      <c r="CJ41" s="26">
        <v>309.57754841710499</v>
      </c>
      <c r="CK41" s="26">
        <v>99.059999999999903</v>
      </c>
      <c r="CL41" s="26">
        <v>96.608000000000004</v>
      </c>
      <c r="CM41" s="26">
        <v>100.19</v>
      </c>
      <c r="CN41" s="26">
        <v>102.63</v>
      </c>
      <c r="CO41" s="26">
        <v>109.998</v>
      </c>
      <c r="CP41" s="26">
        <v>104.569999999999</v>
      </c>
      <c r="CQ41" s="26">
        <v>1523.88</v>
      </c>
      <c r="CR41" s="26">
        <v>103.328</v>
      </c>
      <c r="CS41" s="26">
        <v>1</v>
      </c>
      <c r="CT41" s="26">
        <v>95.919970512800901</v>
      </c>
      <c r="CU41" s="26">
        <v>8.2080391105325196E-2</v>
      </c>
      <c r="CV41" s="26">
        <v>0.88153787063897404</v>
      </c>
      <c r="CW41" s="26">
        <v>0.46492342598034297</v>
      </c>
      <c r="CX41" s="26">
        <v>269.17872592693101</v>
      </c>
      <c r="CY41" s="26">
        <v>6.2649999999999997</v>
      </c>
      <c r="CZ41" s="26">
        <v>2109.5499999999902</v>
      </c>
      <c r="DA41" s="26">
        <v>15.781000000000001</v>
      </c>
      <c r="DB41" s="40">
        <v>4.9110028939156597E-11</v>
      </c>
      <c r="DC41" s="26">
        <v>1.7588197695916799E-4</v>
      </c>
      <c r="DD41" s="26">
        <v>53.143999999999998</v>
      </c>
      <c r="DE41" s="26">
        <v>10</v>
      </c>
      <c r="DF41" s="26">
        <v>138.6</v>
      </c>
      <c r="DG41" s="26">
        <v>151.6</v>
      </c>
      <c r="DH41" s="26">
        <v>143.29999999999899</v>
      </c>
      <c r="DI41" s="26">
        <v>92.7</v>
      </c>
      <c r="DJ41" s="26">
        <v>29.2737972324075</v>
      </c>
      <c r="DK41" s="26">
        <v>0.42789951985887498</v>
      </c>
      <c r="DL41" s="26">
        <v>4.38239317194693E-2</v>
      </c>
      <c r="DM41" s="26">
        <v>0.90276323801603198</v>
      </c>
      <c r="DN41" s="26">
        <v>-3.13</v>
      </c>
      <c r="DO41" s="26">
        <v>50.352999999999902</v>
      </c>
      <c r="DP41" s="26">
        <v>7.12</v>
      </c>
      <c r="DQ41" s="26">
        <v>26.19</v>
      </c>
      <c r="DR41" s="26">
        <v>-14.76</v>
      </c>
      <c r="DS41" s="26">
        <v>18.62</v>
      </c>
      <c r="DT41" s="26">
        <v>18.64</v>
      </c>
      <c r="DU41" s="26">
        <v>38.799999999999997</v>
      </c>
      <c r="DV41" s="26">
        <v>243.29999999999899</v>
      </c>
      <c r="DW41" s="26">
        <v>-17.8799999999999</v>
      </c>
      <c r="DX41" s="26">
        <v>-24.059999999999899</v>
      </c>
      <c r="DY41" s="26">
        <v>86.099999999999895</v>
      </c>
      <c r="DZ41" s="26">
        <v>-35.499999999999901</v>
      </c>
      <c r="EA41" s="26">
        <v>-93.8</v>
      </c>
      <c r="EB41" s="26">
        <v>1309.26</v>
      </c>
      <c r="EC41" s="26">
        <v>527.39999999999895</v>
      </c>
      <c r="ED41" s="26">
        <v>81.02</v>
      </c>
      <c r="EE41" s="26">
        <v>431.7</v>
      </c>
      <c r="EF41" s="26">
        <v>72.48</v>
      </c>
      <c r="EG41" s="26">
        <v>-71.97</v>
      </c>
      <c r="EH41" s="26">
        <v>-18.479999999999901</v>
      </c>
      <c r="EI41" s="26">
        <v>-7.35</v>
      </c>
      <c r="EJ41" s="26">
        <v>-10.5299999999999</v>
      </c>
      <c r="EK41" s="26">
        <v>-467.45</v>
      </c>
      <c r="EL41" s="26">
        <v>140.473075488722</v>
      </c>
      <c r="EM41" s="26">
        <v>212.174057201186</v>
      </c>
      <c r="EN41" s="26">
        <v>0.49012834230249203</v>
      </c>
      <c r="EO41" s="26">
        <v>0.33529913955269403</v>
      </c>
      <c r="EP41" s="26">
        <v>0.39735357795510201</v>
      </c>
      <c r="EQ41" s="26">
        <v>1E-3</v>
      </c>
      <c r="ER41" s="26">
        <v>743.99795592730004</v>
      </c>
      <c r="ES41" s="26">
        <v>355.724241440188</v>
      </c>
      <c r="ET41" s="26">
        <v>1822.2266007205801</v>
      </c>
      <c r="EU41" s="26">
        <v>1150.17835315142</v>
      </c>
      <c r="EV41" s="26">
        <v>246.86580132175999</v>
      </c>
      <c r="EW41" s="26">
        <v>1488.6398617790501</v>
      </c>
      <c r="EX41" s="26">
        <v>13544</v>
      </c>
      <c r="EY41" s="26">
        <v>11.7117473000005</v>
      </c>
      <c r="EZ41" s="26">
        <v>13.451758384704499</v>
      </c>
      <c r="FA41" s="26">
        <v>14.1512050628662</v>
      </c>
      <c r="FB41" s="26">
        <v>3</v>
      </c>
      <c r="FC41" s="26">
        <v>2</v>
      </c>
      <c r="FD41" s="26">
        <v>2</v>
      </c>
      <c r="FE41" s="26">
        <v>15</v>
      </c>
      <c r="FF41" s="26">
        <v>0</v>
      </c>
      <c r="FG41" s="26">
        <v>0</v>
      </c>
      <c r="FH41" s="26">
        <v>8</v>
      </c>
      <c r="FI41" s="26">
        <v>2</v>
      </c>
      <c r="FJ41" s="26">
        <v>2</v>
      </c>
      <c r="FK41" s="26">
        <v>66</v>
      </c>
      <c r="FL41" s="26">
        <v>540</v>
      </c>
      <c r="FM41" s="26">
        <v>311</v>
      </c>
      <c r="FN41" s="26">
        <v>94.06</v>
      </c>
      <c r="FO41" s="26">
        <v>639.20000000000005</v>
      </c>
      <c r="FP41" s="26">
        <v>534.79999999999995</v>
      </c>
      <c r="FQ41" s="26">
        <v>932.4</v>
      </c>
      <c r="FR41" s="26">
        <v>1865.62</v>
      </c>
      <c r="FS41" s="26">
        <v>17.8121357413625</v>
      </c>
      <c r="FT41" s="26">
        <v>55.019999999999897</v>
      </c>
      <c r="FU41" s="26">
        <v>8948</v>
      </c>
      <c r="FV41" s="26">
        <v>1683.4099999999901</v>
      </c>
      <c r="FW41" s="26">
        <v>7571</v>
      </c>
      <c r="FX41" s="40">
        <v>9.9001226182295104E-14</v>
      </c>
      <c r="FY41" s="26">
        <v>1126.88484246898</v>
      </c>
      <c r="FZ41" s="26">
        <v>1691.7076970718299</v>
      </c>
      <c r="GA41" s="26">
        <v>3102.49113915822</v>
      </c>
      <c r="GB41" s="26">
        <v>1746.5949178578501</v>
      </c>
      <c r="GC41" s="26">
        <v>1199.42743197249</v>
      </c>
      <c r="GD41" s="26">
        <v>2476.6203873368399</v>
      </c>
      <c r="GE41" s="26">
        <v>97.82</v>
      </c>
      <c r="GF41" s="26">
        <v>160.874</v>
      </c>
      <c r="GG41" s="26">
        <v>226.643</v>
      </c>
      <c r="GH41" s="26">
        <v>307.51499999999999</v>
      </c>
      <c r="GI41" s="26">
        <v>3333.84399999999</v>
      </c>
      <c r="GJ41" s="26">
        <v>3216.268</v>
      </c>
      <c r="GK41" s="26">
        <v>5134.0680000000002</v>
      </c>
      <c r="GL41" s="26">
        <v>396.65300000000002</v>
      </c>
      <c r="GM41" s="26">
        <v>403.99799999999902</v>
      </c>
      <c r="GN41" s="26">
        <v>885.30600000000004</v>
      </c>
      <c r="GO41" s="26">
        <v>-92.959999999999894</v>
      </c>
      <c r="GP41" s="26">
        <v>3972.99659833334</v>
      </c>
      <c r="GQ41" s="26">
        <v>22446.4473697637</v>
      </c>
      <c r="GR41" s="26">
        <v>1.31210865384612</v>
      </c>
      <c r="GS41" s="26">
        <v>-1.7066891861101099</v>
      </c>
      <c r="GT41" s="26">
        <v>34.092480441925296</v>
      </c>
      <c r="GU41" s="26">
        <v>10.0602834786319</v>
      </c>
      <c r="GV41" s="26">
        <v>9.8121770530420491</v>
      </c>
    </row>
    <row r="42" spans="38:204" x14ac:dyDescent="0.25">
      <c r="AL42" s="26" t="s">
        <v>208</v>
      </c>
      <c r="AM42" s="26">
        <v>14</v>
      </c>
      <c r="AN42" s="26">
        <v>-7.6474516695957798E-2</v>
      </c>
      <c r="AO42" s="26">
        <v>3297.6999999999898</v>
      </c>
      <c r="AP42" s="26">
        <v>3338.0299999999902</v>
      </c>
      <c r="AQ42" s="26">
        <v>570.14800000000196</v>
      </c>
      <c r="AR42" s="26">
        <v>240.31194208711801</v>
      </c>
      <c r="AS42" s="26">
        <v>-44.671799999999998</v>
      </c>
      <c r="AT42" s="26">
        <v>87.853599999999901</v>
      </c>
      <c r="AU42" s="26">
        <v>1.9112376701610499E-2</v>
      </c>
      <c r="AV42" s="26">
        <v>-584.62323809523798</v>
      </c>
      <c r="AW42" s="26">
        <v>753.13226871330198</v>
      </c>
      <c r="AX42" s="40">
        <v>-1.7698176257851999E-11</v>
      </c>
      <c r="AY42" s="26">
        <v>3.9288527577181999E-3</v>
      </c>
      <c r="AZ42" s="26">
        <v>3.2122293891799103E-2</v>
      </c>
      <c r="BA42" s="26">
        <v>4.3946383994402601E-2</v>
      </c>
      <c r="BB42" s="26">
        <v>0.44143102163576098</v>
      </c>
      <c r="BC42" s="26">
        <v>143.50653521484401</v>
      </c>
      <c r="BD42" s="26">
        <v>2241.4232578874398</v>
      </c>
      <c r="BE42" s="26">
        <v>988.81887951347903</v>
      </c>
      <c r="BF42" s="26">
        <v>307.55689270090102</v>
      </c>
      <c r="BG42" s="26">
        <v>0.55856897836424102</v>
      </c>
      <c r="BH42" s="26">
        <v>8.8381371601245906</v>
      </c>
      <c r="BI42" s="26">
        <v>8624.8733017637005</v>
      </c>
      <c r="BJ42" s="26">
        <v>6791.6795180668896</v>
      </c>
      <c r="BK42" s="26">
        <v>5902.5684130801101</v>
      </c>
      <c r="BL42" s="26">
        <v>7.4614542898806799E-2</v>
      </c>
      <c r="BM42" s="26">
        <v>0.42404268888153801</v>
      </c>
      <c r="BN42" s="26">
        <v>8342.7891403402191</v>
      </c>
      <c r="BO42" s="26">
        <v>6593.8506192142404</v>
      </c>
      <c r="BP42" s="26">
        <v>5690.1877647414303</v>
      </c>
      <c r="BQ42" s="26">
        <v>8.2188451187994394E-2</v>
      </c>
      <c r="BR42" s="26">
        <v>0.57544415271224802</v>
      </c>
      <c r="BS42" s="26">
        <v>26857.203999999801</v>
      </c>
      <c r="BT42" s="40">
        <v>-6.0890394727365003E-11</v>
      </c>
      <c r="BU42" s="26">
        <v>-226.80887149380001</v>
      </c>
      <c r="BV42" s="26">
        <v>26.0018264840188</v>
      </c>
      <c r="BW42" s="26">
        <v>611.60999999999797</v>
      </c>
      <c r="BX42" s="26">
        <v>627.67800000000102</v>
      </c>
      <c r="BY42" s="26">
        <v>625.930000000002</v>
      </c>
      <c r="BZ42" s="26">
        <v>561.71</v>
      </c>
      <c r="CA42" s="40">
        <v>-9.4917359433977204E-12</v>
      </c>
      <c r="CB42" s="26">
        <v>-584.62323809523605</v>
      </c>
      <c r="CC42" s="26">
        <v>245.009999999999</v>
      </c>
      <c r="CD42" s="26">
        <v>71546.8</v>
      </c>
      <c r="CE42" s="26">
        <v>0.52087491100927596</v>
      </c>
      <c r="CF42" s="26">
        <v>1.3514580175094899</v>
      </c>
      <c r="CG42" s="26">
        <v>1.1387386945307201</v>
      </c>
      <c r="CH42" s="26">
        <v>169.60327486889699</v>
      </c>
      <c r="CI42" s="26">
        <v>114.345248016566</v>
      </c>
      <c r="CJ42" s="26">
        <v>181.19560370061399</v>
      </c>
      <c r="CK42" s="26">
        <v>549.75000000000102</v>
      </c>
      <c r="CL42" s="26">
        <v>548.83299999999895</v>
      </c>
      <c r="CM42" s="26">
        <v>542.42999999999802</v>
      </c>
      <c r="CN42" s="26">
        <v>526.77999999999895</v>
      </c>
      <c r="CO42" s="26">
        <v>546.67000000000098</v>
      </c>
      <c r="CP42" s="26">
        <v>528.54999999999995</v>
      </c>
      <c r="CQ42" s="26">
        <v>8763.5299999999697</v>
      </c>
      <c r="CR42" s="26">
        <v>539.56399999999996</v>
      </c>
      <c r="CS42" s="26">
        <v>1</v>
      </c>
      <c r="CT42" s="26">
        <v>95.919970512800901</v>
      </c>
      <c r="CU42" s="26">
        <v>0.58703602964589896</v>
      </c>
      <c r="CV42" s="26">
        <v>0.32489983193051702</v>
      </c>
      <c r="CW42" s="26">
        <v>0.741504416108966</v>
      </c>
      <c r="CX42" s="26">
        <v>751.41169257585705</v>
      </c>
      <c r="CY42" s="26">
        <v>16.96</v>
      </c>
      <c r="CZ42" s="26">
        <v>11859.43</v>
      </c>
      <c r="DA42" s="26">
        <v>80.043999999999798</v>
      </c>
      <c r="DB42" s="40">
        <v>7.5764746803683505E-11</v>
      </c>
      <c r="DC42" s="40">
        <v>-3.4406321195246498E-16</v>
      </c>
      <c r="DD42" s="26">
        <v>105.518</v>
      </c>
      <c r="DE42" s="26">
        <v>0</v>
      </c>
      <c r="DF42" s="26">
        <v>583.19999999999698</v>
      </c>
      <c r="DG42" s="26">
        <v>1272.49999999999</v>
      </c>
      <c r="DH42" s="26">
        <v>786.80000000000098</v>
      </c>
      <c r="DI42" s="26">
        <v>-94.099999999999895</v>
      </c>
      <c r="DJ42" s="26">
        <v>45.162299497798102</v>
      </c>
      <c r="DK42" s="26">
        <v>0.938240611501024</v>
      </c>
      <c r="DL42" s="26">
        <v>0.13058886450694199</v>
      </c>
      <c r="DM42" s="26">
        <v>0.32039210882443903</v>
      </c>
      <c r="DN42" s="26">
        <v>125.939999999999</v>
      </c>
      <c r="DO42" s="26">
        <v>281.05399999999997</v>
      </c>
      <c r="DP42" s="26">
        <v>-3.22</v>
      </c>
      <c r="DQ42" s="26">
        <v>156.66999999999999</v>
      </c>
      <c r="DR42" s="26">
        <v>-48.34</v>
      </c>
      <c r="DS42" s="26">
        <v>178.98999999999899</v>
      </c>
      <c r="DT42" s="26">
        <v>6.81</v>
      </c>
      <c r="DU42" s="26">
        <v>155.9</v>
      </c>
      <c r="DV42" s="26">
        <v>997.19999999999902</v>
      </c>
      <c r="DW42" s="26">
        <v>27.6</v>
      </c>
      <c r="DX42" s="26">
        <v>-79.340000000000202</v>
      </c>
      <c r="DY42" s="26">
        <v>913.79999999999802</v>
      </c>
      <c r="DZ42" s="26">
        <v>-117.9</v>
      </c>
      <c r="EA42" s="26">
        <v>-230.99999999999901</v>
      </c>
      <c r="EB42" s="26">
        <v>7286.45999999999</v>
      </c>
      <c r="EC42" s="26">
        <v>3088.70999999999</v>
      </c>
      <c r="ED42" s="26">
        <v>474.44</v>
      </c>
      <c r="EE42" s="26">
        <v>2433.0999999999899</v>
      </c>
      <c r="EF42" s="26">
        <v>408.9</v>
      </c>
      <c r="EG42" s="26">
        <v>-355.47</v>
      </c>
      <c r="EH42" s="26">
        <v>-61.240000000000101</v>
      </c>
      <c r="EI42" s="26">
        <v>36.7899999999999</v>
      </c>
      <c r="EJ42" s="26">
        <v>79.369999999999905</v>
      </c>
      <c r="EK42" s="26">
        <v>-2594.6099999999901</v>
      </c>
      <c r="EL42" s="26">
        <v>143.50653521484401</v>
      </c>
      <c r="EM42" s="26">
        <v>397.31750562421797</v>
      </c>
      <c r="EN42" s="26">
        <v>4.4878793196658098</v>
      </c>
      <c r="EO42" s="26">
        <v>6.0526096770550399</v>
      </c>
      <c r="EP42" s="26">
        <v>4.6123112911421602</v>
      </c>
      <c r="EQ42" s="26">
        <v>1E-3</v>
      </c>
      <c r="ER42" s="26">
        <v>336.20749117049598</v>
      </c>
      <c r="ES42" s="26">
        <v>631.24757156406395</v>
      </c>
      <c r="ET42" s="26">
        <v>1363.71266177712</v>
      </c>
      <c r="EU42" s="26">
        <v>599.88653120417098</v>
      </c>
      <c r="EV42" s="26">
        <v>459.00752563966</v>
      </c>
      <c r="EW42" s="26">
        <v>1174.0385794290501</v>
      </c>
      <c r="EX42" s="26">
        <v>74942</v>
      </c>
      <c r="EY42" s="26">
        <v>64.733785239991406</v>
      </c>
      <c r="EZ42" s="26">
        <v>14.172422409057599</v>
      </c>
      <c r="FA42" s="26">
        <v>17.229866027831999</v>
      </c>
      <c r="FB42" s="26">
        <v>26</v>
      </c>
      <c r="FC42" s="26">
        <v>5</v>
      </c>
      <c r="FD42" s="26">
        <v>1</v>
      </c>
      <c r="FE42" s="26">
        <v>56</v>
      </c>
      <c r="FF42" s="26">
        <v>5</v>
      </c>
      <c r="FG42" s="26">
        <v>0</v>
      </c>
      <c r="FH42" s="26">
        <v>41</v>
      </c>
      <c r="FI42" s="26">
        <v>7</v>
      </c>
      <c r="FJ42" s="26">
        <v>4</v>
      </c>
      <c r="FK42" s="26">
        <v>504</v>
      </c>
      <c r="FL42" s="26">
        <v>1907</v>
      </c>
      <c r="FM42" s="26">
        <v>1845</v>
      </c>
      <c r="FN42" s="26">
        <v>541.48999999999899</v>
      </c>
      <c r="FO42" s="26">
        <v>3244.1</v>
      </c>
      <c r="FP42" s="26">
        <v>3160.6</v>
      </c>
      <c r="FQ42" s="26">
        <v>4939.8</v>
      </c>
      <c r="FR42" s="26">
        <v>10037.9999999999</v>
      </c>
      <c r="FS42" s="26">
        <v>26.3319825188631</v>
      </c>
      <c r="FT42" s="26">
        <v>356.68999999999897</v>
      </c>
      <c r="FU42" s="26">
        <v>48968</v>
      </c>
      <c r="FV42" s="26">
        <v>9870.3800000000392</v>
      </c>
      <c r="FW42" s="26">
        <v>42237</v>
      </c>
      <c r="FX42" s="40">
        <v>3.5469322811542999E-13</v>
      </c>
      <c r="FY42" s="26">
        <v>2296.8943583096798</v>
      </c>
      <c r="FZ42" s="26">
        <v>8653.8369229816599</v>
      </c>
      <c r="GA42" s="26">
        <v>8459.7122537225096</v>
      </c>
      <c r="GB42" s="26">
        <v>4409.6851465913196</v>
      </c>
      <c r="GC42" s="26">
        <v>6403.3338889277202</v>
      </c>
      <c r="GD42" s="26">
        <v>7429.01975172518</v>
      </c>
      <c r="GE42" s="26">
        <v>555.89</v>
      </c>
      <c r="GF42" s="26">
        <v>862.71500000000003</v>
      </c>
      <c r="GG42" s="26">
        <v>513.30499999999995</v>
      </c>
      <c r="GH42" s="26">
        <v>1180.277</v>
      </c>
      <c r="GI42" s="26">
        <v>11855.602999999999</v>
      </c>
      <c r="GJ42" s="26">
        <v>11458.947</v>
      </c>
      <c r="GK42" s="26">
        <v>15001.600999999901</v>
      </c>
      <c r="GL42" s="26">
        <v>894.30800000000295</v>
      </c>
      <c r="GM42" s="26">
        <v>2003.9379999999901</v>
      </c>
      <c r="GN42" s="26">
        <v>2207.3519999999999</v>
      </c>
      <c r="GO42" s="26">
        <v>-425.23999999999899</v>
      </c>
      <c r="GP42" s="26">
        <v>12639.943596666501</v>
      </c>
      <c r="GQ42" s="26">
        <v>122688.052510309</v>
      </c>
      <c r="GR42" s="26">
        <v>9.7410479789119009</v>
      </c>
      <c r="GS42" s="26">
        <v>-1.66519233454468</v>
      </c>
      <c r="GT42" s="40">
        <v>-6.6576834448083401E-11</v>
      </c>
      <c r="GU42" s="26">
        <v>6.1052818252200201</v>
      </c>
      <c r="GV42" s="26">
        <v>6.1641222676026599</v>
      </c>
    </row>
    <row r="43" spans="38:204" x14ac:dyDescent="0.25">
      <c r="AL43" s="26" t="s">
        <v>209</v>
      </c>
      <c r="AM43" s="26">
        <v>12</v>
      </c>
      <c r="AN43" s="26">
        <v>-2.5063872255488999E-2</v>
      </c>
      <c r="AO43" s="26">
        <v>2904.6999999999898</v>
      </c>
      <c r="AP43" s="26">
        <v>2930.7199999999898</v>
      </c>
      <c r="AQ43" s="26">
        <v>502.52100000000002</v>
      </c>
      <c r="AR43" s="26">
        <v>310.70543412261702</v>
      </c>
      <c r="AS43" s="26">
        <v>-13.5087999999999</v>
      </c>
      <c r="AT43" s="26">
        <v>87.986400000000003</v>
      </c>
      <c r="AU43" s="26">
        <v>4.4797476127569798E-2</v>
      </c>
      <c r="AV43" s="26">
        <v>-660.999523809523</v>
      </c>
      <c r="AW43" s="26">
        <v>1389.5379749372901</v>
      </c>
      <c r="AX43" s="26">
        <v>8.9999999999968399</v>
      </c>
      <c r="AY43" s="26">
        <v>4.9842529809333196E-3</v>
      </c>
      <c r="AZ43" s="26">
        <v>2.9830309865199099E-2</v>
      </c>
      <c r="BA43" s="26">
        <v>4.6864110977317401E-2</v>
      </c>
      <c r="BB43" s="26">
        <v>0.43990122559171302</v>
      </c>
      <c r="BC43" s="26">
        <v>817.27490959719898</v>
      </c>
      <c r="BD43" s="26">
        <v>2184.5395111479002</v>
      </c>
      <c r="BE43" s="26">
        <v>1689.2215384255901</v>
      </c>
      <c r="BF43" s="26">
        <v>1126.62697555255</v>
      </c>
      <c r="BG43" s="26">
        <v>0.56009877440828704</v>
      </c>
      <c r="BH43" s="26">
        <v>40.037225281393297</v>
      </c>
      <c r="BI43" s="26">
        <v>5332.0679010384101</v>
      </c>
      <c r="BJ43" s="26">
        <v>3605.1157259731099</v>
      </c>
      <c r="BK43" s="26">
        <v>2870.83895130164</v>
      </c>
      <c r="BL43" s="26">
        <v>4.3076798171665799E-2</v>
      </c>
      <c r="BM43" s="26">
        <v>0.44067536983543898</v>
      </c>
      <c r="BN43" s="26">
        <v>6791.7872874372097</v>
      </c>
      <c r="BO43" s="26">
        <v>5397.3383403591797</v>
      </c>
      <c r="BP43" s="26">
        <v>4827.6387533586003</v>
      </c>
      <c r="BQ43" s="26">
        <v>8.5335595856382507E-2</v>
      </c>
      <c r="BR43" s="26">
        <v>0.55930913550011496</v>
      </c>
      <c r="BS43" s="26">
        <v>22072.1139999999</v>
      </c>
      <c r="BT43" s="26">
        <v>30.833775497682701</v>
      </c>
      <c r="BU43" s="26">
        <v>-212.804511355111</v>
      </c>
      <c r="BV43" s="26">
        <v>17.019029595060999</v>
      </c>
      <c r="BW43" s="26">
        <v>505.91999999999899</v>
      </c>
      <c r="BX43" s="26">
        <v>508.88399999999803</v>
      </c>
      <c r="BY43" s="26">
        <v>505.590000000001</v>
      </c>
      <c r="BZ43" s="26">
        <v>496.99</v>
      </c>
      <c r="CA43" s="26">
        <v>4.1365189175239996</v>
      </c>
      <c r="CB43" s="26">
        <v>-660.99952380952504</v>
      </c>
      <c r="CC43" s="26">
        <v>223.44999999999899</v>
      </c>
      <c r="CD43" s="26">
        <v>62034</v>
      </c>
      <c r="CE43" s="26">
        <v>0.61247223137847395</v>
      </c>
      <c r="CF43" s="26">
        <v>1.2544783186139199</v>
      </c>
      <c r="CG43" s="26">
        <v>1.1183666083680699</v>
      </c>
      <c r="CH43" s="26">
        <v>155.40212894937099</v>
      </c>
      <c r="CI43" s="26">
        <v>109.706246206522</v>
      </c>
      <c r="CJ43" s="26">
        <v>166.158002544043</v>
      </c>
      <c r="CK43" s="26">
        <v>497.900000000001</v>
      </c>
      <c r="CL43" s="26">
        <v>500.890999999999</v>
      </c>
      <c r="CM43" s="26">
        <v>504.07999999999799</v>
      </c>
      <c r="CN43" s="26">
        <v>488.68</v>
      </c>
      <c r="CO43" s="26">
        <v>493.39100000000099</v>
      </c>
      <c r="CP43" s="26">
        <v>492.74999999999898</v>
      </c>
      <c r="CQ43" s="26">
        <v>7390.0799999999799</v>
      </c>
      <c r="CR43" s="26">
        <v>496.78199999999998</v>
      </c>
      <c r="CS43" s="26">
        <v>1</v>
      </c>
      <c r="CT43" s="26">
        <v>95.919970512800901</v>
      </c>
      <c r="CU43" s="26">
        <v>3.8641811344581299E-3</v>
      </c>
      <c r="CV43" s="26">
        <v>0.20164913281150401</v>
      </c>
      <c r="CW43" s="26">
        <v>0.979450200541369</v>
      </c>
      <c r="CX43" s="26">
        <v>1389.5379749372901</v>
      </c>
      <c r="CY43" s="26">
        <v>10.170999999999999</v>
      </c>
      <c r="CZ43" s="26">
        <v>10434.41</v>
      </c>
      <c r="DA43" s="26">
        <v>40.275999999999897</v>
      </c>
      <c r="DB43" s="40">
        <v>8.5745722506263202E-11</v>
      </c>
      <c r="DC43" s="26">
        <v>1.6072873360818799E-4</v>
      </c>
      <c r="DD43" s="26">
        <v>110.01300000000001</v>
      </c>
      <c r="DE43" s="26">
        <v>9</v>
      </c>
      <c r="DF43" s="26">
        <v>917.69999999999698</v>
      </c>
      <c r="DG43" s="26">
        <v>1119.19999999999</v>
      </c>
      <c r="DH43" s="26">
        <v>1125.2</v>
      </c>
      <c r="DI43" s="26">
        <v>749.5</v>
      </c>
      <c r="DJ43" s="26">
        <v>51.111818673624498</v>
      </c>
      <c r="DK43" s="26">
        <v>0.89796105060793796</v>
      </c>
      <c r="DL43" s="26">
        <v>1.8322989485108101E-2</v>
      </c>
      <c r="DM43" s="26">
        <v>0.43969332454270499</v>
      </c>
      <c r="DN43" s="26">
        <v>139.26999999999899</v>
      </c>
      <c r="DO43" s="26">
        <v>254.27199999999999</v>
      </c>
      <c r="DP43" s="26">
        <v>-14.96</v>
      </c>
      <c r="DQ43" s="26">
        <v>143.33000000000001</v>
      </c>
      <c r="DR43" s="26">
        <v>-0.66999999999995696</v>
      </c>
      <c r="DS43" s="26">
        <v>165.45</v>
      </c>
      <c r="DT43" s="26">
        <v>14.5099999999999</v>
      </c>
      <c r="DU43" s="26">
        <v>50.700000000000301</v>
      </c>
      <c r="DV43" s="26">
        <v>804.80000000000098</v>
      </c>
      <c r="DW43" s="26">
        <v>46.189999999999898</v>
      </c>
      <c r="DX43" s="26">
        <v>-23.339999999999701</v>
      </c>
      <c r="DY43" s="26">
        <v>761.599999999999</v>
      </c>
      <c r="DZ43" s="26">
        <v>-74.000000000000199</v>
      </c>
      <c r="EA43" s="26">
        <v>-166.2</v>
      </c>
      <c r="EB43" s="26">
        <v>6421.9899999999898</v>
      </c>
      <c r="EC43" s="26">
        <v>2737.0599999999899</v>
      </c>
      <c r="ED43" s="26">
        <v>437.95</v>
      </c>
      <c r="EE43" s="26">
        <v>2368.2999999999902</v>
      </c>
      <c r="EF43" s="26">
        <v>362.43</v>
      </c>
      <c r="EG43" s="26">
        <v>-245.17</v>
      </c>
      <c r="EH43" s="26">
        <v>-33.290000000000099</v>
      </c>
      <c r="EI43" s="26">
        <v>61.869999999999798</v>
      </c>
      <c r="EJ43" s="26">
        <v>-150.77999999999901</v>
      </c>
      <c r="EK43" s="26">
        <v>-2091.26999999999</v>
      </c>
      <c r="EL43" s="26">
        <v>817.27490959719898</v>
      </c>
      <c r="EM43" s="26">
        <v>708.5394392659</v>
      </c>
      <c r="EN43" s="26">
        <v>3.7961617518326598</v>
      </c>
      <c r="EO43" s="26">
        <v>4.0617034250776296</v>
      </c>
      <c r="EP43" s="26">
        <v>3.7469427179770398</v>
      </c>
      <c r="EQ43" s="26">
        <v>1E-3</v>
      </c>
      <c r="ER43" s="26">
        <v>310.08236626696902</v>
      </c>
      <c r="ES43" s="26">
        <v>779.713494459142</v>
      </c>
      <c r="ET43" s="26">
        <v>1643.74265795376</v>
      </c>
      <c r="EU43" s="26">
        <v>420.70790818062198</v>
      </c>
      <c r="EV43" s="26">
        <v>534.55261437145703</v>
      </c>
      <c r="EW43" s="26">
        <v>1399.89188287618</v>
      </c>
      <c r="EX43" s="26">
        <v>64585</v>
      </c>
      <c r="EY43" s="26">
        <v>55.631954549992798</v>
      </c>
      <c r="EZ43" s="26">
        <v>20.184576034545898</v>
      </c>
      <c r="FA43" s="26">
        <v>22.218997955322202</v>
      </c>
      <c r="FB43" s="26">
        <v>23</v>
      </c>
      <c r="FC43" s="26">
        <v>3</v>
      </c>
      <c r="FD43" s="26">
        <v>0</v>
      </c>
      <c r="FE43" s="26">
        <v>41</v>
      </c>
      <c r="FF43" s="26">
        <v>5</v>
      </c>
      <c r="FG43" s="26">
        <v>1</v>
      </c>
      <c r="FH43" s="26">
        <v>37</v>
      </c>
      <c r="FI43" s="26">
        <v>6</v>
      </c>
      <c r="FJ43" s="26">
        <v>3</v>
      </c>
      <c r="FK43" s="26">
        <v>423</v>
      </c>
      <c r="FL43" s="26">
        <v>2534</v>
      </c>
      <c r="FM43" s="26">
        <v>1714</v>
      </c>
      <c r="FN43" s="26">
        <v>520.85</v>
      </c>
      <c r="FO43" s="26">
        <v>2839.6999999999898</v>
      </c>
      <c r="FP43" s="26">
        <v>3028.0999999999899</v>
      </c>
      <c r="FQ43" s="26">
        <v>4301.8999999999896</v>
      </c>
      <c r="FR43" s="26">
        <v>7425.9</v>
      </c>
      <c r="FS43" s="26">
        <v>24.565049384431301</v>
      </c>
      <c r="FT43" s="26">
        <v>273.62999999999897</v>
      </c>
      <c r="FU43" s="26">
        <v>43661</v>
      </c>
      <c r="FV43" s="26">
        <v>7773.6600000000199</v>
      </c>
      <c r="FW43" s="26">
        <v>39008</v>
      </c>
      <c r="FX43" s="40">
        <v>2.6934004282778799E-13</v>
      </c>
      <c r="FY43" s="26">
        <v>2189.1282396074998</v>
      </c>
      <c r="FZ43" s="26">
        <v>5642.5883985867704</v>
      </c>
      <c r="GA43" s="26">
        <v>6875.5457850606199</v>
      </c>
      <c r="GB43" s="26">
        <v>3574.2489658355498</v>
      </c>
      <c r="GC43" s="26">
        <v>4497.9560944674204</v>
      </c>
      <c r="GD43" s="26">
        <v>6147.8460941295998</v>
      </c>
      <c r="GE43" s="26">
        <v>502.150000000001</v>
      </c>
      <c r="GF43" s="26">
        <v>658.41799999999898</v>
      </c>
      <c r="GG43" s="26">
        <v>988.77499999999895</v>
      </c>
      <c r="GH43" s="26">
        <v>1034.3900000000001</v>
      </c>
      <c r="GI43" s="26">
        <v>9709.5499999999993</v>
      </c>
      <c r="GJ43" s="26">
        <v>9357.6899999999896</v>
      </c>
      <c r="GK43" s="26">
        <v>12362.5639999999</v>
      </c>
      <c r="GL43" s="26">
        <v>956.76</v>
      </c>
      <c r="GM43" s="26">
        <v>950.79599999999903</v>
      </c>
      <c r="GN43" s="26">
        <v>1883.53699999999</v>
      </c>
      <c r="GO43" s="26">
        <v>-254.33</v>
      </c>
      <c r="GP43" s="26">
        <v>10456.495723333301</v>
      </c>
      <c r="GQ43" s="26">
        <v>105707.505558716</v>
      </c>
      <c r="GR43" s="26">
        <v>15.577076447106</v>
      </c>
      <c r="GS43" s="26">
        <v>0.43726582026570099</v>
      </c>
      <c r="GT43" s="26">
        <v>31.1135812144535</v>
      </c>
      <c r="GU43" s="26">
        <v>7.5063327836612697</v>
      </c>
      <c r="GV43" s="26">
        <v>7.6207577976907599</v>
      </c>
    </row>
    <row r="44" spans="38:204" x14ac:dyDescent="0.25">
      <c r="AL44" s="26" t="s">
        <v>211</v>
      </c>
      <c r="AM44" s="26">
        <v>22</v>
      </c>
      <c r="AN44" s="26">
        <v>2.24588796185935E-2</v>
      </c>
      <c r="AO44" s="26">
        <v>4909.49999999998</v>
      </c>
      <c r="AP44" s="26">
        <v>4957.3299999999899</v>
      </c>
      <c r="AQ44" s="26">
        <v>842.23899999999901</v>
      </c>
      <c r="AR44" s="26">
        <v>405.33209205077702</v>
      </c>
      <c r="AS44" s="26">
        <v>16.3095999999999</v>
      </c>
      <c r="AT44" s="26">
        <v>174.7072</v>
      </c>
      <c r="AU44" s="26">
        <v>2.1096432372009501E-2</v>
      </c>
      <c r="AV44" s="26">
        <v>-1235.7535238095199</v>
      </c>
      <c r="AW44" s="26">
        <v>2173.5336725468001</v>
      </c>
      <c r="AX44" s="26">
        <v>4.99999999990973</v>
      </c>
      <c r="AY44" s="26">
        <v>3.3268188620775301E-3</v>
      </c>
      <c r="AZ44" s="26">
        <v>3.2631948973394997E-2</v>
      </c>
      <c r="BA44" s="26">
        <v>3.9430093826016803E-2</v>
      </c>
      <c r="BB44" s="26">
        <v>0.44346150866123002</v>
      </c>
      <c r="BC44" s="26">
        <v>1747.02606875942</v>
      </c>
      <c r="BD44" s="26">
        <v>2814.1909619995099</v>
      </c>
      <c r="BE44" s="26">
        <v>1638.6573154119001</v>
      </c>
      <c r="BF44" s="26">
        <v>824.19259158582599</v>
      </c>
      <c r="BG44" s="26">
        <v>0.55653849133877697</v>
      </c>
      <c r="BH44" s="26">
        <v>20.039757743036699</v>
      </c>
      <c r="BI44" s="26">
        <v>8573.2830542246793</v>
      </c>
      <c r="BJ44" s="26">
        <v>5609.6693457583997</v>
      </c>
      <c r="BK44" s="26">
        <v>4622.3614553989701</v>
      </c>
      <c r="BL44" s="26">
        <v>5.1804784850011699E-2</v>
      </c>
      <c r="BM44" s="26">
        <v>0.429034457619621</v>
      </c>
      <c r="BN44" s="26">
        <v>9278.3267933578809</v>
      </c>
      <c r="BO44" s="26">
        <v>7004.4131484540603</v>
      </c>
      <c r="BP44" s="26">
        <v>6248.7196274952903</v>
      </c>
      <c r="BQ44" s="26">
        <v>7.4463143800213405E-2</v>
      </c>
      <c r="BR44" s="26">
        <v>0.570965542380383</v>
      </c>
      <c r="BS44" s="26">
        <v>32330.584999999599</v>
      </c>
      <c r="BT44" s="26">
        <v>17.290580659501501</v>
      </c>
      <c r="BU44" s="26">
        <v>-311.60548929930599</v>
      </c>
      <c r="BV44" s="26">
        <v>21.174113350210199</v>
      </c>
      <c r="BW44" s="26">
        <v>845.70000000000095</v>
      </c>
      <c r="BX44" s="26">
        <v>849.23300000000199</v>
      </c>
      <c r="BY44" s="26">
        <v>851.21000000000197</v>
      </c>
      <c r="BZ44" s="26">
        <v>845.56999999999505</v>
      </c>
      <c r="CA44" s="26">
        <v>2.6801423518020302</v>
      </c>
      <c r="CB44" s="26">
        <v>-1235.7535238095199</v>
      </c>
      <c r="CC44" s="26">
        <v>371.89999999999901</v>
      </c>
      <c r="CD44" s="26">
        <v>105438.6</v>
      </c>
      <c r="CE44" s="26">
        <v>0.52302321603049295</v>
      </c>
      <c r="CF44" s="26">
        <v>1.19247699692776</v>
      </c>
      <c r="CG44" s="26">
        <v>1.10665733383211</v>
      </c>
      <c r="CH44" s="26">
        <v>138.89712868377799</v>
      </c>
      <c r="CI44" s="26">
        <v>96.495179110407307</v>
      </c>
      <c r="CJ44" s="26">
        <v>145.81372422820601</v>
      </c>
      <c r="CK44" s="26">
        <v>840.51000000000101</v>
      </c>
      <c r="CL44" s="26">
        <v>837.93099999999902</v>
      </c>
      <c r="CM44" s="26">
        <v>836.90999999999894</v>
      </c>
      <c r="CN44" s="26">
        <v>820.34</v>
      </c>
      <c r="CO44" s="26">
        <v>817.19000000000096</v>
      </c>
      <c r="CP44" s="26">
        <v>829.14</v>
      </c>
      <c r="CQ44" s="26">
        <v>12832.389999999899</v>
      </c>
      <c r="CR44" s="26">
        <v>838.44199999999796</v>
      </c>
      <c r="CS44" s="26">
        <v>1</v>
      </c>
      <c r="CT44" s="26">
        <v>95.919970512800901</v>
      </c>
      <c r="CU44" s="26">
        <v>0.99847738532299901</v>
      </c>
      <c r="CV44" s="26">
        <v>5.2223085426950797E-2</v>
      </c>
      <c r="CW44" s="26">
        <v>1.77668327800793E-2</v>
      </c>
      <c r="CX44" s="26">
        <v>2173.5336725468001</v>
      </c>
      <c r="CY44" s="26">
        <v>14.824</v>
      </c>
      <c r="CZ44" s="26">
        <v>17598.319999999901</v>
      </c>
      <c r="DA44" s="26">
        <v>70.314999999999799</v>
      </c>
      <c r="DB44" s="40">
        <v>8.9697428924628201E-11</v>
      </c>
      <c r="DC44" s="40">
        <v>9.0195680916550005E-5</v>
      </c>
      <c r="DD44" s="26">
        <v>107.55800000000001</v>
      </c>
      <c r="DE44" s="26">
        <v>5</v>
      </c>
      <c r="DF44" s="26">
        <v>1979.69999999999</v>
      </c>
      <c r="DG44" s="26">
        <v>2589</v>
      </c>
      <c r="DH44" s="26">
        <v>2485.1999999999898</v>
      </c>
      <c r="DI44" s="26">
        <v>1603.29999999999</v>
      </c>
      <c r="DJ44" s="26">
        <v>53.467375265874601</v>
      </c>
      <c r="DK44" s="26">
        <v>0.204335312321237</v>
      </c>
      <c r="DL44" s="26">
        <v>2.7696630107081802E-2</v>
      </c>
      <c r="DM44" s="26">
        <v>0.97850905811816202</v>
      </c>
      <c r="DN44" s="26">
        <v>330.25</v>
      </c>
      <c r="DO44" s="26">
        <v>441.69199999999802</v>
      </c>
      <c r="DP44" s="26">
        <v>-91.950000000000202</v>
      </c>
      <c r="DQ44" s="26">
        <v>234.849999999999</v>
      </c>
      <c r="DR44" s="26">
        <v>28.719999999999899</v>
      </c>
      <c r="DS44" s="26">
        <v>332.539999999999</v>
      </c>
      <c r="DT44" s="26">
        <v>12.35</v>
      </c>
      <c r="DU44" s="26">
        <v>-27.099999999999898</v>
      </c>
      <c r="DV44" s="26">
        <v>1027.9000000000001</v>
      </c>
      <c r="DW44" s="26">
        <v>125.409999999999</v>
      </c>
      <c r="DX44" s="26">
        <v>17.720000000000098</v>
      </c>
      <c r="DY44" s="26">
        <v>1460.8</v>
      </c>
      <c r="DZ44" s="26">
        <v>-119.5</v>
      </c>
      <c r="EA44" s="26">
        <v>-259.39999999999901</v>
      </c>
      <c r="EB44" s="26">
        <v>10751.059999999899</v>
      </c>
      <c r="EC44" s="26">
        <v>4602.9399999999696</v>
      </c>
      <c r="ED44" s="26">
        <v>732.780000000006</v>
      </c>
      <c r="EE44" s="26">
        <v>4124.1999999999898</v>
      </c>
      <c r="EF44" s="26">
        <v>606.73000000000104</v>
      </c>
      <c r="EG44" s="26">
        <v>-305.13</v>
      </c>
      <c r="EH44" s="26">
        <v>-27.16</v>
      </c>
      <c r="EI44" s="26">
        <v>143.83999999999901</v>
      </c>
      <c r="EJ44" s="26">
        <v>-155.42999999999901</v>
      </c>
      <c r="EK44" s="26">
        <v>-3411.0099999999902</v>
      </c>
      <c r="EL44" s="26">
        <v>1747.02606875942</v>
      </c>
      <c r="EM44" s="26">
        <v>890.92458950258697</v>
      </c>
      <c r="EN44" s="26">
        <v>4.9679933442050102</v>
      </c>
      <c r="EO44" s="26">
        <v>9.9716101269009005</v>
      </c>
      <c r="EP44" s="26">
        <v>10.7031233502109</v>
      </c>
      <c r="EQ44" s="26">
        <v>1E-3</v>
      </c>
      <c r="ER44" s="26">
        <v>214.51164298360899</v>
      </c>
      <c r="ES44" s="26">
        <v>1014.78773384991</v>
      </c>
      <c r="ET44" s="26">
        <v>1886.5267888652099</v>
      </c>
      <c r="EU44" s="26">
        <v>390.73089749360003</v>
      </c>
      <c r="EV44" s="26">
        <v>779.38688251753604</v>
      </c>
      <c r="EW44" s="26">
        <v>1559.66040219814</v>
      </c>
      <c r="EX44" s="26">
        <v>109367</v>
      </c>
      <c r="EY44" s="26">
        <v>94.375320480042106</v>
      </c>
      <c r="EZ44" s="26">
        <v>19.700344085693299</v>
      </c>
      <c r="FA44" s="26">
        <v>23.3977870941162</v>
      </c>
      <c r="FB44" s="26">
        <v>39</v>
      </c>
      <c r="FC44" s="26">
        <v>6</v>
      </c>
      <c r="FD44" s="26">
        <v>0</v>
      </c>
      <c r="FE44" s="26">
        <v>77</v>
      </c>
      <c r="FF44" s="26">
        <v>7</v>
      </c>
      <c r="FG44" s="26">
        <v>2</v>
      </c>
      <c r="FH44" s="26">
        <v>58</v>
      </c>
      <c r="FI44" s="26">
        <v>6</v>
      </c>
      <c r="FJ44" s="26">
        <v>4</v>
      </c>
      <c r="FK44" s="26">
        <v>702</v>
      </c>
      <c r="FL44" s="26">
        <v>4225</v>
      </c>
      <c r="FM44" s="26">
        <v>2955</v>
      </c>
      <c r="FN44" s="26">
        <v>851.13</v>
      </c>
      <c r="FO44" s="26">
        <v>4781</v>
      </c>
      <c r="FP44" s="26">
        <v>5062.5999999999804</v>
      </c>
      <c r="FQ44" s="26">
        <v>7106.2999999999802</v>
      </c>
      <c r="FR44" s="26">
        <v>11312.9899999999</v>
      </c>
      <c r="FS44" s="26">
        <v>28.362745603511701</v>
      </c>
      <c r="FT44" s="26">
        <v>446.05999999999801</v>
      </c>
      <c r="FU44" s="26">
        <v>73616</v>
      </c>
      <c r="FV44" s="26">
        <v>13262</v>
      </c>
      <c r="FW44" s="26">
        <v>65072</v>
      </c>
      <c r="FX44" s="40">
        <v>4.3678479856623299E-13</v>
      </c>
      <c r="FY44" s="26">
        <v>2833.21049472205</v>
      </c>
      <c r="FZ44" s="26">
        <v>8860.2576680760703</v>
      </c>
      <c r="GA44" s="26">
        <v>9359.2179828500302</v>
      </c>
      <c r="GB44" s="26">
        <v>5416.9880186673499</v>
      </c>
      <c r="GC44" s="26">
        <v>7430.12879150136</v>
      </c>
      <c r="GD44" s="26">
        <v>8457.1960052359591</v>
      </c>
      <c r="GE44" s="26">
        <v>845.669999999997</v>
      </c>
      <c r="GF44" s="26">
        <v>1055.01</v>
      </c>
      <c r="GG44" s="26">
        <v>682.06</v>
      </c>
      <c r="GH44" s="26">
        <v>1274.798</v>
      </c>
      <c r="GI44" s="26">
        <v>14337.37</v>
      </c>
      <c r="GJ44" s="26">
        <v>13806.902</v>
      </c>
      <c r="GK44" s="26">
        <v>17993.214999999898</v>
      </c>
      <c r="GL44" s="26">
        <v>977.730000000004</v>
      </c>
      <c r="GM44" s="26">
        <v>1674.8789999999999</v>
      </c>
      <c r="GN44" s="26">
        <v>2407.4369999999999</v>
      </c>
      <c r="GO44" s="26">
        <v>-377.26999999999799</v>
      </c>
      <c r="GP44" s="26">
        <v>15218.5735849998</v>
      </c>
      <c r="GQ44" s="26">
        <v>180933.06630051701</v>
      </c>
      <c r="GR44" s="26">
        <v>24.739936471997598</v>
      </c>
      <c r="GS44" s="26">
        <v>0.48664195380078201</v>
      </c>
      <c r="GT44" s="26">
        <v>17.4447357925342</v>
      </c>
      <c r="GU44" s="26">
        <v>6.25153684031201</v>
      </c>
      <c r="GV44" s="26">
        <v>6.38619747508411</v>
      </c>
    </row>
    <row r="45" spans="38:204" x14ac:dyDescent="0.25">
      <c r="AL45" s="26" t="s">
        <v>212</v>
      </c>
      <c r="AM45" s="26">
        <v>4</v>
      </c>
      <c r="AN45" s="26">
        <v>-0.11850387596899201</v>
      </c>
      <c r="AO45" s="26">
        <v>718.3</v>
      </c>
      <c r="AP45" s="26">
        <v>711.52</v>
      </c>
      <c r="AQ45" s="26">
        <v>128.93299999999999</v>
      </c>
      <c r="AR45" s="26">
        <v>65.5357654157078</v>
      </c>
      <c r="AS45" s="26">
        <v>-16.834800000000001</v>
      </c>
      <c r="AT45" s="26">
        <v>14.9805999999999</v>
      </c>
      <c r="AU45" s="26">
        <v>2.41228366699929E-2</v>
      </c>
      <c r="AV45" s="26">
        <v>-194.52314285714201</v>
      </c>
      <c r="AW45" s="26">
        <v>159.67188770840099</v>
      </c>
      <c r="AX45" s="26">
        <v>8.0000000000000799</v>
      </c>
      <c r="AY45" s="26">
        <v>4.14013820192071E-3</v>
      </c>
      <c r="AZ45" s="26">
        <v>3.4956426160949898E-2</v>
      </c>
      <c r="BA45" s="26">
        <v>5.2019829154133002E-2</v>
      </c>
      <c r="BB45" s="26">
        <v>0.52030601295842005</v>
      </c>
      <c r="BC45" s="26">
        <v>595.93303362137203</v>
      </c>
      <c r="BD45" s="26">
        <v>411.68575908836198</v>
      </c>
      <c r="BE45" s="26">
        <v>301.34548445571698</v>
      </c>
      <c r="BF45" s="26">
        <v>167.54320934516801</v>
      </c>
      <c r="BG45" s="26">
        <v>0.47969398704157901</v>
      </c>
      <c r="BH45" s="26">
        <v>11.668704572875299</v>
      </c>
      <c r="BI45" s="26">
        <v>1060.0106179895099</v>
      </c>
      <c r="BJ45" s="26">
        <v>618.13889357565301</v>
      </c>
      <c r="BK45" s="26">
        <v>386.50392499468597</v>
      </c>
      <c r="BL45" s="26">
        <v>2.5384093708318001E-2</v>
      </c>
      <c r="BM45" s="26">
        <v>0.50726435977571005</v>
      </c>
      <c r="BN45" s="26">
        <v>2291.2567102563398</v>
      </c>
      <c r="BO45" s="26">
        <v>1651.45472598014</v>
      </c>
      <c r="BP45" s="26">
        <v>1602.6132898344799</v>
      </c>
      <c r="BQ45" s="26">
        <v>9.3826105481653002E-2</v>
      </c>
      <c r="BR45" s="26">
        <v>0.49273564022428901</v>
      </c>
      <c r="BS45" s="26">
        <v>6656.05799999999</v>
      </c>
      <c r="BT45" s="26">
        <v>26.8767177656717</v>
      </c>
      <c r="BU45" s="26">
        <v>-75.311286130172505</v>
      </c>
      <c r="BV45" s="26">
        <v>10.400578775906199</v>
      </c>
      <c r="BW45" s="26">
        <v>123.02999999999901</v>
      </c>
      <c r="BX45" s="26">
        <v>127.91800000000001</v>
      </c>
      <c r="BY45" s="26">
        <v>127.719999999999</v>
      </c>
      <c r="BZ45" s="26">
        <v>129.52000000000001</v>
      </c>
      <c r="CA45" s="26">
        <v>2.1547947083029002</v>
      </c>
      <c r="CB45" s="26">
        <v>-194.523142857143</v>
      </c>
      <c r="CC45" s="26">
        <v>56.96</v>
      </c>
      <c r="CD45" s="26">
        <v>15904.5</v>
      </c>
      <c r="CE45" s="26">
        <v>0.62524753614935602</v>
      </c>
      <c r="CF45" s="26">
        <v>1.15535902845488</v>
      </c>
      <c r="CG45" s="26">
        <v>1.0858526780173401</v>
      </c>
      <c r="CH45" s="26">
        <v>109.739405938264</v>
      </c>
      <c r="CI45" s="26">
        <v>61.074072342906398</v>
      </c>
      <c r="CJ45" s="26">
        <v>263.76238193287202</v>
      </c>
      <c r="CK45" s="26">
        <v>130.30000000000001</v>
      </c>
      <c r="CL45" s="26">
        <v>126.383</v>
      </c>
      <c r="CM45" s="26">
        <v>125.469999999999</v>
      </c>
      <c r="CN45" s="26">
        <v>136.60999999999899</v>
      </c>
      <c r="CO45" s="26">
        <v>132.67599999999999</v>
      </c>
      <c r="CP45" s="26">
        <v>129.349999999999</v>
      </c>
      <c r="CQ45" s="26">
        <v>1828.22</v>
      </c>
      <c r="CR45" s="26">
        <v>129.70500000000001</v>
      </c>
      <c r="CS45" s="26">
        <v>1</v>
      </c>
      <c r="CT45" s="26">
        <v>95.919970512800901</v>
      </c>
      <c r="CU45" s="26">
        <v>0.90491144887932295</v>
      </c>
      <c r="CV45" s="26">
        <v>5.6584552689169102E-3</v>
      </c>
      <c r="CW45" s="26">
        <v>0.42556227695966398</v>
      </c>
      <c r="CX45" s="26">
        <v>159.67188770840099</v>
      </c>
      <c r="CY45" s="26">
        <v>-5.4279999999999902</v>
      </c>
      <c r="CZ45" s="26">
        <v>2699.37</v>
      </c>
      <c r="DA45" s="26">
        <v>2.367</v>
      </c>
      <c r="DB45" s="40">
        <v>4.3054733162569103E-11</v>
      </c>
      <c r="DC45" s="26">
        <v>1.39889993096265E-4</v>
      </c>
      <c r="DD45" s="26">
        <v>27.556999999999999</v>
      </c>
      <c r="DE45" s="26">
        <v>8</v>
      </c>
      <c r="DF45" s="26">
        <v>192</v>
      </c>
      <c r="DG45" s="26">
        <v>200.2</v>
      </c>
      <c r="DH45" s="26">
        <v>211.599999999999</v>
      </c>
      <c r="DI45" s="26">
        <v>233.1</v>
      </c>
      <c r="DJ45" s="26">
        <v>25.664320622941599</v>
      </c>
      <c r="DK45" s="26">
        <v>0.66936122338911697</v>
      </c>
      <c r="DL45" s="26">
        <v>0.17771298287536699</v>
      </c>
      <c r="DM45" s="26">
        <v>0.721369287078791</v>
      </c>
      <c r="DN45" s="26">
        <v>11.33</v>
      </c>
      <c r="DO45" s="26">
        <v>63.7439999999999</v>
      </c>
      <c r="DP45" s="26">
        <v>13.739999999999901</v>
      </c>
      <c r="DQ45" s="26">
        <v>35.619999999999997</v>
      </c>
      <c r="DR45" s="26">
        <v>-11.14</v>
      </c>
      <c r="DS45" s="26">
        <v>42.18</v>
      </c>
      <c r="DT45" s="26">
        <v>9.48</v>
      </c>
      <c r="DU45" s="26">
        <v>-4.4999999999999902</v>
      </c>
      <c r="DV45" s="26">
        <v>248.99999999999901</v>
      </c>
      <c r="DW45" s="26">
        <v>3.19999999999999</v>
      </c>
      <c r="DX45" s="26">
        <v>-8.3800000000000008</v>
      </c>
      <c r="DY45" s="26">
        <v>206.2</v>
      </c>
      <c r="DZ45" s="26">
        <v>-14.899999999999901</v>
      </c>
      <c r="EA45" s="26">
        <v>-60.899999999999899</v>
      </c>
      <c r="EB45" s="26">
        <v>1644.94</v>
      </c>
      <c r="EC45" s="26">
        <v>701.13</v>
      </c>
      <c r="ED45" s="26">
        <v>112.30999999999899</v>
      </c>
      <c r="EE45" s="26">
        <v>540.4</v>
      </c>
      <c r="EF45" s="26">
        <v>93.739999999999796</v>
      </c>
      <c r="EG45" s="26">
        <v>-75.38</v>
      </c>
      <c r="EH45" s="26">
        <v>-19.760000000000002</v>
      </c>
      <c r="EI45" s="26">
        <v>2.61</v>
      </c>
      <c r="EJ45" s="26">
        <v>-41.49</v>
      </c>
      <c r="EK45" s="26">
        <v>-605.71</v>
      </c>
      <c r="EL45" s="26">
        <v>595.93303362137203</v>
      </c>
      <c r="EM45" s="26">
        <v>266.45191462976902</v>
      </c>
      <c r="EN45" s="26">
        <v>0.30492988448363301</v>
      </c>
      <c r="EO45" s="26">
        <v>0.34186057868343001</v>
      </c>
      <c r="EP45" s="26">
        <v>0.2860946257175</v>
      </c>
      <c r="EQ45" s="26">
        <v>1E-3</v>
      </c>
      <c r="ER45" s="26">
        <v>157.18173590370799</v>
      </c>
      <c r="ES45" s="26">
        <v>329.45594604766302</v>
      </c>
      <c r="ET45" s="26">
        <v>909.11476908725103</v>
      </c>
      <c r="EU45" s="26">
        <v>230.269585218179</v>
      </c>
      <c r="EV45" s="26">
        <v>261.43580286114201</v>
      </c>
      <c r="EW45" s="26">
        <v>784.15720301209001</v>
      </c>
      <c r="EX45" s="26">
        <v>16602</v>
      </c>
      <c r="EY45" s="26">
        <v>14.3133002800006</v>
      </c>
      <c r="EZ45" s="26">
        <v>9.6303281784057599</v>
      </c>
      <c r="FA45" s="26">
        <v>10.175061225891101</v>
      </c>
      <c r="FB45" s="26">
        <v>6</v>
      </c>
      <c r="FC45" s="26">
        <v>0</v>
      </c>
      <c r="FD45" s="26">
        <v>0</v>
      </c>
      <c r="FE45" s="26">
        <v>16</v>
      </c>
      <c r="FF45" s="26">
        <v>1</v>
      </c>
      <c r="FG45" s="26">
        <v>0</v>
      </c>
      <c r="FH45" s="26">
        <v>8</v>
      </c>
      <c r="FI45" s="26">
        <v>3</v>
      </c>
      <c r="FJ45" s="26">
        <v>3</v>
      </c>
      <c r="FK45" s="26">
        <v>105</v>
      </c>
      <c r="FL45" s="26">
        <v>290</v>
      </c>
      <c r="FM45" s="26">
        <v>442</v>
      </c>
      <c r="FN45" s="26">
        <v>123.27</v>
      </c>
      <c r="FO45" s="26">
        <v>722.99999999999898</v>
      </c>
      <c r="FP45" s="26">
        <v>770.99999999999898</v>
      </c>
      <c r="FQ45" s="26">
        <v>1104.4000000000001</v>
      </c>
      <c r="FR45" s="26">
        <v>1493.47</v>
      </c>
      <c r="FS45" s="26">
        <v>14.702642631573999</v>
      </c>
      <c r="FT45" s="26">
        <v>94.709999999999894</v>
      </c>
      <c r="FU45" s="26">
        <v>11531</v>
      </c>
      <c r="FV45" s="26">
        <v>2129.9699999999898</v>
      </c>
      <c r="FW45" s="26">
        <v>10039</v>
      </c>
      <c r="FX45" s="40">
        <v>1.3800917220643201E-13</v>
      </c>
      <c r="FY45" s="26">
        <v>411.68575908836198</v>
      </c>
      <c r="FZ45" s="26">
        <v>1128.9996941741299</v>
      </c>
      <c r="GA45" s="26">
        <v>2291.2567102563398</v>
      </c>
      <c r="GB45" s="26">
        <v>658.43643562958505</v>
      </c>
      <c r="GC45" s="26">
        <v>977.18515748650202</v>
      </c>
      <c r="GD45" s="26">
        <v>2110.0990554629798</v>
      </c>
      <c r="GE45" s="26">
        <v>127.75</v>
      </c>
      <c r="GF45" s="26">
        <v>232.671999999999</v>
      </c>
      <c r="GG45" s="26">
        <v>160.56299999999999</v>
      </c>
      <c r="GH45" s="26">
        <v>346.24700000000001</v>
      </c>
      <c r="GI45" s="26">
        <v>3463.1869999999899</v>
      </c>
      <c r="GJ45" s="26">
        <v>3354.2489999999998</v>
      </c>
      <c r="GK45" s="26">
        <v>3192.8710000000001</v>
      </c>
      <c r="GL45" s="26">
        <v>220.32299999999901</v>
      </c>
      <c r="GM45" s="26">
        <v>168.958</v>
      </c>
      <c r="GN45" s="26">
        <v>624.51199999999994</v>
      </c>
      <c r="GO45" s="26">
        <v>-63.369999999999898</v>
      </c>
      <c r="GP45" s="26">
        <v>3198.2623799999901</v>
      </c>
      <c r="GQ45" s="26">
        <v>26401.291935728001</v>
      </c>
      <c r="GR45" s="26">
        <v>3.0734821705426199</v>
      </c>
      <c r="GS45" s="26">
        <v>-0.95497698114485297</v>
      </c>
      <c r="GT45" s="26">
        <v>27.129793667872299</v>
      </c>
      <c r="GU45" s="26">
        <v>10.9844178597848</v>
      </c>
      <c r="GV45" s="26">
        <v>10.6748717191231</v>
      </c>
    </row>
    <row r="46" spans="38:204" x14ac:dyDescent="0.25">
      <c r="AL46" s="26" t="s">
        <v>214</v>
      </c>
      <c r="AM46" s="26">
        <v>3</v>
      </c>
      <c r="AN46" s="26">
        <v>-2.23818181818181E-2</v>
      </c>
      <c r="AO46" s="26">
        <v>620.1</v>
      </c>
      <c r="AP46" s="26">
        <v>616.31999999999903</v>
      </c>
      <c r="AQ46" s="26">
        <v>110.244999999999</v>
      </c>
      <c r="AR46" s="26">
        <v>14.740050362451701</v>
      </c>
      <c r="AS46" s="26">
        <v>-2.82</v>
      </c>
      <c r="AT46" s="26">
        <v>16.517599999999899</v>
      </c>
      <c r="AU46" s="26">
        <v>1.36811565906967E-2</v>
      </c>
      <c r="AV46" s="26">
        <v>-238.65171428571401</v>
      </c>
      <c r="AW46" s="26">
        <v>249.468917283465</v>
      </c>
      <c r="AX46" s="26">
        <v>4.0000000000004698</v>
      </c>
      <c r="AY46" s="26">
        <v>2.42437096808742E-3</v>
      </c>
      <c r="AZ46" s="26">
        <v>3.5540526921438602E-2</v>
      </c>
      <c r="BA46" s="26">
        <v>3.1456248426388597E-2</v>
      </c>
      <c r="BB46" s="26">
        <v>0.50318286478197305</v>
      </c>
      <c r="BC46" s="26">
        <v>239.11047377712401</v>
      </c>
      <c r="BD46" s="26">
        <v>278.98179632583299</v>
      </c>
      <c r="BE46" s="26">
        <v>152.40713738496399</v>
      </c>
      <c r="BF46" s="26">
        <v>55.087557597053703</v>
      </c>
      <c r="BG46" s="26">
        <v>0.49681713521802601</v>
      </c>
      <c r="BH46" s="26">
        <v>0.46734991728275999</v>
      </c>
      <c r="BI46" s="26">
        <v>955.71864640628905</v>
      </c>
      <c r="BJ46" s="26">
        <v>540.15742764771801</v>
      </c>
      <c r="BK46" s="26">
        <v>420.48855028063002</v>
      </c>
      <c r="BL46" s="26">
        <v>3.81566282702583E-2</v>
      </c>
      <c r="BM46" s="26">
        <v>0.48951522764119898</v>
      </c>
      <c r="BN46" s="26">
        <v>1697.81421022678</v>
      </c>
      <c r="BO46" s="26">
        <v>1240.3081683149301</v>
      </c>
      <c r="BP46" s="26">
        <v>1170.6758865494701</v>
      </c>
      <c r="BQ46" s="26">
        <v>8.9440291261624394E-2</v>
      </c>
      <c r="BR46" s="26">
        <v>0.50773435439710402</v>
      </c>
      <c r="BS46" s="26">
        <v>5695.4979999999996</v>
      </c>
      <c r="BT46" s="26">
        <v>13.416497741150801</v>
      </c>
      <c r="BU46" s="26">
        <v>-50.889535363538798</v>
      </c>
      <c r="BV46" s="26">
        <v>18.307976396797802</v>
      </c>
      <c r="BW46" s="26">
        <v>104.33999999999899</v>
      </c>
      <c r="BX46" s="26">
        <v>105.202</v>
      </c>
      <c r="BY46" s="26">
        <v>104.909999999999</v>
      </c>
      <c r="BZ46" s="26">
        <v>110.45</v>
      </c>
      <c r="CA46" s="26">
        <v>0.99977213641053597</v>
      </c>
      <c r="CB46" s="26">
        <v>-238.65171428571401</v>
      </c>
      <c r="CC46" s="26">
        <v>49.23</v>
      </c>
      <c r="CD46" s="26">
        <v>13349.4</v>
      </c>
      <c r="CE46" s="26">
        <v>0.50084974885313205</v>
      </c>
      <c r="CF46" s="26">
        <v>1.2069293224859301</v>
      </c>
      <c r="CG46" s="26">
        <v>1.0388841201321299</v>
      </c>
      <c r="CH46" s="26">
        <v>79.573849090516006</v>
      </c>
      <c r="CI46" s="26">
        <v>92.811377592676195</v>
      </c>
      <c r="CJ46" s="26">
        <v>183.605302341456</v>
      </c>
      <c r="CK46" s="26">
        <v>111.789999999999</v>
      </c>
      <c r="CL46" s="26">
        <v>110.863</v>
      </c>
      <c r="CM46" s="26">
        <v>109.409999999999</v>
      </c>
      <c r="CN46" s="26">
        <v>114.18</v>
      </c>
      <c r="CO46" s="26">
        <v>108.364</v>
      </c>
      <c r="CP46" s="26">
        <v>114.19999999999899</v>
      </c>
      <c r="CQ46" s="26">
        <v>1637.77</v>
      </c>
      <c r="CR46" s="26">
        <v>114.04300000000001</v>
      </c>
      <c r="CS46" s="26">
        <v>1</v>
      </c>
      <c r="CT46" s="26">
        <v>95.919970512800901</v>
      </c>
      <c r="CU46" s="26">
        <v>0.95667884486193899</v>
      </c>
      <c r="CV46" s="26">
        <v>0.29114488572228497</v>
      </c>
      <c r="CW46" s="26">
        <v>4.9326603678408198E-4</v>
      </c>
      <c r="CX46" s="26">
        <v>249.468917283465</v>
      </c>
      <c r="CY46" s="26">
        <v>-1.0329999999999999</v>
      </c>
      <c r="CZ46" s="26">
        <v>2284.52</v>
      </c>
      <c r="DA46" s="26">
        <v>9.8249999999999993</v>
      </c>
      <c r="DB46" s="40">
        <v>3.8701535048213502E-11</v>
      </c>
      <c r="DC46" s="40">
        <v>6.98224306382559E-5</v>
      </c>
      <c r="DD46" s="26">
        <v>13.808</v>
      </c>
      <c r="DE46" s="26">
        <v>4</v>
      </c>
      <c r="DF46" s="26">
        <v>242.4</v>
      </c>
      <c r="DG46" s="26">
        <v>234.3</v>
      </c>
      <c r="DH46" s="26">
        <v>241.69999999999899</v>
      </c>
      <c r="DI46" s="26">
        <v>236</v>
      </c>
      <c r="DJ46" s="26">
        <v>23.069440480027701</v>
      </c>
      <c r="DK46" s="26">
        <v>0.827095037752551</v>
      </c>
      <c r="DL46" s="40">
        <v>8.33251530902494E-5</v>
      </c>
      <c r="DM46" s="26">
        <v>0.56206208872510199</v>
      </c>
      <c r="DN46" s="26">
        <v>32.22</v>
      </c>
      <c r="DO46" s="26">
        <v>57.837999999999901</v>
      </c>
      <c r="DP46" s="26">
        <v>0.630000000000001</v>
      </c>
      <c r="DQ46" s="26">
        <v>30.95</v>
      </c>
      <c r="DR46" s="26">
        <v>2.00000000000017E-2</v>
      </c>
      <c r="DS46" s="26">
        <v>42.129999999999903</v>
      </c>
      <c r="DT46" s="26">
        <v>7.85</v>
      </c>
      <c r="DU46" s="26">
        <v>-2.2999999999999998</v>
      </c>
      <c r="DV46" s="26">
        <v>197.29999999999899</v>
      </c>
      <c r="DW46" s="26">
        <v>16.32</v>
      </c>
      <c r="DX46" s="26">
        <v>2.99</v>
      </c>
      <c r="DY46" s="26">
        <v>173.2</v>
      </c>
      <c r="DZ46" s="26">
        <v>-13.5999999999999</v>
      </c>
      <c r="EA46" s="26">
        <v>-34.200000000000003</v>
      </c>
      <c r="EB46" s="26">
        <v>1404.15</v>
      </c>
      <c r="EC46" s="26">
        <v>593.29999999999995</v>
      </c>
      <c r="ED46" s="26">
        <v>95.739999999999895</v>
      </c>
      <c r="EE46" s="26">
        <v>503.5</v>
      </c>
      <c r="EF46" s="26">
        <v>79.589999999999904</v>
      </c>
      <c r="EG46" s="26">
        <v>-46.31</v>
      </c>
      <c r="EH46" s="26">
        <v>-11.21</v>
      </c>
      <c r="EI46" s="26">
        <v>16.139999999999901</v>
      </c>
      <c r="EJ46" s="26">
        <v>-32.17</v>
      </c>
      <c r="EK46" s="26">
        <v>-434.59</v>
      </c>
      <c r="EL46" s="26">
        <v>239.11047377712401</v>
      </c>
      <c r="EM46" s="26">
        <v>92.676382711227006</v>
      </c>
      <c r="EN46" s="26">
        <v>0.25750226083805999</v>
      </c>
      <c r="EO46" s="26">
        <v>0.21095211253827501</v>
      </c>
      <c r="EP46" s="26">
        <v>0.19549192525120701</v>
      </c>
      <c r="EQ46" s="26">
        <v>1E-3</v>
      </c>
      <c r="ER46" s="26">
        <v>73.577254219272604</v>
      </c>
      <c r="ES46" s="26">
        <v>293.157022492463</v>
      </c>
      <c r="ET46" s="26">
        <v>824.79161211875805</v>
      </c>
      <c r="EU46" s="26">
        <v>111.004920661678</v>
      </c>
      <c r="EV46" s="26">
        <v>237.23366423742601</v>
      </c>
      <c r="EW46" s="26">
        <v>792.80459938483102</v>
      </c>
      <c r="EX46" s="26">
        <v>13977</v>
      </c>
      <c r="EY46" s="26">
        <v>12.011851280000499</v>
      </c>
      <c r="EZ46" s="26">
        <v>5.5240178108215297</v>
      </c>
      <c r="FA46" s="26">
        <v>6.0198616981506303</v>
      </c>
      <c r="FB46" s="26">
        <v>7</v>
      </c>
      <c r="FC46" s="26">
        <v>0</v>
      </c>
      <c r="FD46" s="26">
        <v>0</v>
      </c>
      <c r="FE46" s="26">
        <v>9</v>
      </c>
      <c r="FF46" s="26">
        <v>0</v>
      </c>
      <c r="FG46" s="26">
        <v>0</v>
      </c>
      <c r="FH46" s="26">
        <v>9</v>
      </c>
      <c r="FI46" s="26">
        <v>2</v>
      </c>
      <c r="FJ46" s="26">
        <v>1</v>
      </c>
      <c r="FK46" s="26">
        <v>80</v>
      </c>
      <c r="FL46" s="26">
        <v>435</v>
      </c>
      <c r="FM46" s="26">
        <v>380</v>
      </c>
      <c r="FN46" s="26">
        <v>111.26</v>
      </c>
      <c r="FO46" s="26">
        <v>621.29999999999905</v>
      </c>
      <c r="FP46" s="26">
        <v>661.29999999999905</v>
      </c>
      <c r="FQ46" s="26">
        <v>927.8</v>
      </c>
      <c r="FR46" s="26">
        <v>1301.42</v>
      </c>
      <c r="FS46" s="26">
        <v>13.6672838807582</v>
      </c>
      <c r="FT46" s="26">
        <v>67.040000000000006</v>
      </c>
      <c r="FU46" s="26">
        <v>9733</v>
      </c>
      <c r="FV46" s="26">
        <v>1706.5999999999899</v>
      </c>
      <c r="FW46" s="26">
        <v>8406</v>
      </c>
      <c r="FX46" s="40">
        <v>1.28845965982495E-13</v>
      </c>
      <c r="FY46" s="26">
        <v>278.98179632583401</v>
      </c>
      <c r="FZ46" s="26">
        <v>1008.15095769223</v>
      </c>
      <c r="GA46" s="26">
        <v>1716.7016967713901</v>
      </c>
      <c r="GB46" s="26">
        <v>557.01694363361196</v>
      </c>
      <c r="GC46" s="26">
        <v>835.30239833408598</v>
      </c>
      <c r="GD46" s="26">
        <v>1652.44772107311</v>
      </c>
      <c r="GE46" s="26">
        <v>110.51</v>
      </c>
      <c r="GF46" s="26">
        <v>202.42099999999999</v>
      </c>
      <c r="GG46" s="26">
        <v>77.920999999999907</v>
      </c>
      <c r="GH46" s="26">
        <v>179.15899999999999</v>
      </c>
      <c r="GI46" s="26">
        <v>2865.877</v>
      </c>
      <c r="GJ46" s="26">
        <v>2777.1289999999999</v>
      </c>
      <c r="GK46" s="26">
        <v>2829.6210000000001</v>
      </c>
      <c r="GL46" s="26">
        <v>170.61099999999999</v>
      </c>
      <c r="GM46" s="26">
        <v>217.321</v>
      </c>
      <c r="GN46" s="26">
        <v>509.40699999999902</v>
      </c>
      <c r="GO46" s="26">
        <v>-55.31</v>
      </c>
      <c r="GP46" s="26">
        <v>2716.1353366666599</v>
      </c>
      <c r="GQ46" s="26">
        <v>22728.357035139899</v>
      </c>
      <c r="GR46" s="26">
        <v>3.4836809090908698</v>
      </c>
      <c r="GS46" s="26">
        <v>-0.48718607216009702</v>
      </c>
      <c r="GT46" s="26">
        <v>13.543219726851</v>
      </c>
      <c r="GU46" s="26">
        <v>10.0299871040488</v>
      </c>
      <c r="GV46" s="26">
        <v>9.7446034944732407</v>
      </c>
    </row>
    <row r="47" spans="38:204" x14ac:dyDescent="0.25">
      <c r="AL47" s="26" t="s">
        <v>215</v>
      </c>
      <c r="AM47" s="26">
        <v>12</v>
      </c>
      <c r="AN47" s="26">
        <v>9.3474137931034401E-2</v>
      </c>
      <c r="AO47" s="26">
        <v>1374.2</v>
      </c>
      <c r="AP47" s="26">
        <v>1374.0699999999899</v>
      </c>
      <c r="AQ47" s="26">
        <v>232.27599999999899</v>
      </c>
      <c r="AR47" s="26">
        <v>90.283884458602998</v>
      </c>
      <c r="AS47" s="26">
        <v>21.589600000000001</v>
      </c>
      <c r="AT47" s="26">
        <v>56.767799999999902</v>
      </c>
      <c r="AU47" s="26">
        <v>1.00554505527652E-2</v>
      </c>
      <c r="AV47" s="26">
        <v>-448.70171428571399</v>
      </c>
      <c r="AW47" s="26">
        <v>308.47195296018401</v>
      </c>
      <c r="AX47" s="26">
        <v>-0.99999999999842903</v>
      </c>
      <c r="AY47" s="26">
        <v>5.2976892156165398E-3</v>
      </c>
      <c r="AZ47" s="26">
        <v>2.8311711501765199E-2</v>
      </c>
      <c r="BA47" s="26">
        <v>3.7792933825038899E-2</v>
      </c>
      <c r="BB47" s="26">
        <v>0.44651995195933197</v>
      </c>
      <c r="BC47" s="26">
        <v>1035.5609512366</v>
      </c>
      <c r="BD47" s="26">
        <v>738.89660936076302</v>
      </c>
      <c r="BE47" s="26">
        <v>492.10796506540299</v>
      </c>
      <c r="BF47" s="26">
        <v>316.41788839606198</v>
      </c>
      <c r="BG47" s="26">
        <v>0.55348004804066797</v>
      </c>
      <c r="BH47" s="26">
        <v>4.0529365902061896</v>
      </c>
      <c r="BI47" s="26">
        <v>2415.6309942387602</v>
      </c>
      <c r="BJ47" s="26">
        <v>1457.54878533189</v>
      </c>
      <c r="BK47" s="26">
        <v>1218.38529226735</v>
      </c>
      <c r="BL47" s="26">
        <v>3.8232987151996398E-2</v>
      </c>
      <c r="BM47" s="26">
        <v>0.43986679357796499</v>
      </c>
      <c r="BN47" s="26">
        <v>2106.6199507652</v>
      </c>
      <c r="BO47" s="26">
        <v>1259.8896170268599</v>
      </c>
      <c r="BP47" s="26">
        <v>1076.7861230281001</v>
      </c>
      <c r="BQ47" s="26">
        <v>4.9859393781648997E-2</v>
      </c>
      <c r="BR47" s="26">
        <v>0.55863922436818003</v>
      </c>
      <c r="BS47" s="26">
        <v>9912.4349999999904</v>
      </c>
      <c r="BT47" s="26">
        <v>-3.3747168320625098</v>
      </c>
      <c r="BU47" s="26">
        <v>-68.521646607360594</v>
      </c>
      <c r="BV47" s="26">
        <v>27.030501549732399</v>
      </c>
      <c r="BW47" s="26">
        <v>222.47</v>
      </c>
      <c r="BX47" s="26">
        <v>220.03599999999901</v>
      </c>
      <c r="BY47" s="26">
        <v>221.35999999999899</v>
      </c>
      <c r="BZ47" s="26">
        <v>235.06</v>
      </c>
      <c r="CA47" s="26">
        <v>-0.31884414558959501</v>
      </c>
      <c r="CB47" s="26">
        <v>-448.70171428571399</v>
      </c>
      <c r="CC47" s="26">
        <v>103.67</v>
      </c>
      <c r="CD47" s="26">
        <v>27750.0999999999</v>
      </c>
      <c r="CE47" s="26">
        <v>0.60204214518330801</v>
      </c>
      <c r="CF47" s="26">
        <v>1.1972721712994401</v>
      </c>
      <c r="CG47" s="26">
        <v>0.99643096690215605</v>
      </c>
      <c r="CH47" s="26">
        <v>113.93122939057901</v>
      </c>
      <c r="CI47" s="26">
        <v>97.2605083878789</v>
      </c>
      <c r="CJ47" s="26">
        <v>133.620145985958</v>
      </c>
      <c r="CK47" s="26">
        <v>241.469999999999</v>
      </c>
      <c r="CL47" s="26">
        <v>248.75700000000001</v>
      </c>
      <c r="CM47" s="26">
        <v>241.82999999999899</v>
      </c>
      <c r="CN47" s="26">
        <v>236.14</v>
      </c>
      <c r="CO47" s="26">
        <v>228.863</v>
      </c>
      <c r="CP47" s="26">
        <v>234.74999999999901</v>
      </c>
      <c r="CQ47" s="26">
        <v>3429.82</v>
      </c>
      <c r="CR47" s="26">
        <v>235.92399999999901</v>
      </c>
      <c r="CS47" s="26">
        <v>1</v>
      </c>
      <c r="CT47" s="26">
        <v>95.919970512800901</v>
      </c>
      <c r="CU47" s="26">
        <v>0.84438715917374896</v>
      </c>
      <c r="CV47" s="26">
        <v>0.16193089525637</v>
      </c>
      <c r="CW47" s="26">
        <v>0.51067476008116497</v>
      </c>
      <c r="CX47" s="26">
        <v>308.47195296018401</v>
      </c>
      <c r="CY47" s="26">
        <v>-5.1969999999999903</v>
      </c>
      <c r="CZ47" s="26">
        <v>4821.4699999999903</v>
      </c>
      <c r="DA47" s="26">
        <v>12.8219999999999</v>
      </c>
      <c r="DB47" s="40">
        <v>5.2772564943259497E-11</v>
      </c>
      <c r="DC47" s="40">
        <v>-1.75710965186963E-5</v>
      </c>
      <c r="DD47" s="26">
        <v>52.512999999999998</v>
      </c>
      <c r="DE47" s="26">
        <v>-1</v>
      </c>
      <c r="DF47" s="26">
        <v>502.9</v>
      </c>
      <c r="DG47" s="26">
        <v>573.9</v>
      </c>
      <c r="DH47" s="26">
        <v>546.20000000000005</v>
      </c>
      <c r="DI47" s="26">
        <v>552.6</v>
      </c>
      <c r="DJ47" s="26">
        <v>31.456983409579799</v>
      </c>
      <c r="DK47" s="26">
        <v>0.897370397745063</v>
      </c>
      <c r="DL47" s="26">
        <v>0.25358004292751002</v>
      </c>
      <c r="DM47" s="26">
        <v>0.36114198188489399</v>
      </c>
      <c r="DN47" s="26">
        <v>85.289999999999793</v>
      </c>
      <c r="DO47" s="26">
        <v>124.15600000000001</v>
      </c>
      <c r="DP47" s="26">
        <v>-11.8599999999999</v>
      </c>
      <c r="DQ47" s="26">
        <v>70.459999999999894</v>
      </c>
      <c r="DR47" s="26">
        <v>33.32</v>
      </c>
      <c r="DS47" s="26">
        <v>93.129999999999896</v>
      </c>
      <c r="DT47" s="26">
        <v>-17.5199999999999</v>
      </c>
      <c r="DU47" s="26">
        <v>-39.299999999999898</v>
      </c>
      <c r="DV47" s="26">
        <v>382.3</v>
      </c>
      <c r="DW47" s="26">
        <v>42.959999999999901</v>
      </c>
      <c r="DX47" s="26">
        <v>13.049999999999899</v>
      </c>
      <c r="DY47" s="26">
        <v>376.99999999999898</v>
      </c>
      <c r="DZ47" s="26">
        <v>-10.899999999999901</v>
      </c>
      <c r="EA47" s="26">
        <v>1.5999999999999901</v>
      </c>
      <c r="EB47" s="26">
        <v>2972.32</v>
      </c>
      <c r="EC47" s="26">
        <v>1273.7</v>
      </c>
      <c r="ED47" s="26">
        <v>218.06</v>
      </c>
      <c r="EE47" s="26">
        <v>1136.2</v>
      </c>
      <c r="EF47" s="26">
        <v>168.94999999999899</v>
      </c>
      <c r="EG47" s="26">
        <v>-75.67</v>
      </c>
      <c r="EH47" s="26">
        <v>-8.08</v>
      </c>
      <c r="EI47" s="26">
        <v>70.639999999999901</v>
      </c>
      <c r="EJ47" s="26">
        <v>-89.669999999999902</v>
      </c>
      <c r="EK47" s="26">
        <v>-784.02999999999895</v>
      </c>
      <c r="EL47" s="26">
        <v>1035.5609512366</v>
      </c>
      <c r="EM47" s="26">
        <v>529.158445362777</v>
      </c>
      <c r="EN47" s="26">
        <v>0.57259824193665398</v>
      </c>
      <c r="EO47" s="26">
        <v>0.89042420021798097</v>
      </c>
      <c r="EP47" s="26">
        <v>0.839203826732001</v>
      </c>
      <c r="EQ47" s="26">
        <v>1E-3</v>
      </c>
      <c r="ER47" s="26">
        <v>113.241579325364</v>
      </c>
      <c r="ES47" s="26">
        <v>926.38027960909596</v>
      </c>
      <c r="ET47" s="26">
        <v>776.98139124456304</v>
      </c>
      <c r="EU47" s="26">
        <v>187.11311765146201</v>
      </c>
      <c r="EV47" s="26">
        <v>739.48547916756297</v>
      </c>
      <c r="EW47" s="26">
        <v>763.49416903096005</v>
      </c>
      <c r="EX47" s="26">
        <v>28826</v>
      </c>
      <c r="EY47" s="26">
        <v>24.671723819997698</v>
      </c>
      <c r="EZ47" s="26">
        <v>-2.3134140968322701</v>
      </c>
      <c r="FA47" s="26">
        <v>1.23081386089324</v>
      </c>
      <c r="FB47" s="26">
        <v>11</v>
      </c>
      <c r="FC47" s="26">
        <v>0</v>
      </c>
      <c r="FD47" s="26">
        <v>0</v>
      </c>
      <c r="FE47" s="26">
        <v>21</v>
      </c>
      <c r="FF47" s="26">
        <v>2</v>
      </c>
      <c r="FG47" s="26">
        <v>1</v>
      </c>
      <c r="FH47" s="26">
        <v>16</v>
      </c>
      <c r="FI47" s="26">
        <v>2</v>
      </c>
      <c r="FJ47" s="26">
        <v>2</v>
      </c>
      <c r="FK47" s="26">
        <v>163</v>
      </c>
      <c r="FL47" s="26">
        <v>1121</v>
      </c>
      <c r="FM47" s="26">
        <v>833</v>
      </c>
      <c r="FN47" s="26">
        <v>253.909999999999</v>
      </c>
      <c r="FO47" s="26">
        <v>1391.1</v>
      </c>
      <c r="FP47" s="26">
        <v>1582.9</v>
      </c>
      <c r="FQ47" s="26">
        <v>1959.1</v>
      </c>
      <c r="FR47" s="26">
        <v>2249.33</v>
      </c>
      <c r="FS47" s="26">
        <v>17.3203128574714</v>
      </c>
      <c r="FT47" s="26">
        <v>136.229999999999</v>
      </c>
      <c r="FU47" s="26">
        <v>20663</v>
      </c>
      <c r="FV47" s="26">
        <v>3218.88</v>
      </c>
      <c r="FW47" s="26">
        <v>19273</v>
      </c>
      <c r="FX47" s="40">
        <v>1.9407981173623899E-13</v>
      </c>
      <c r="FY47" s="26">
        <v>754.505419202437</v>
      </c>
      <c r="FZ47" s="26">
        <v>2445.3933012440998</v>
      </c>
      <c r="GA47" s="26">
        <v>2130.2920201983302</v>
      </c>
      <c r="GB47" s="26">
        <v>1253.2435232963701</v>
      </c>
      <c r="GC47" s="26">
        <v>2042.4706761454499</v>
      </c>
      <c r="GD47" s="26">
        <v>2137.9223357753299</v>
      </c>
      <c r="GE47" s="26">
        <v>239.46</v>
      </c>
      <c r="GF47" s="26">
        <v>280.63799999999998</v>
      </c>
      <c r="GG47" s="26">
        <v>99.674000000000007</v>
      </c>
      <c r="GH47" s="26">
        <v>374.61999999999898</v>
      </c>
      <c r="GI47" s="26">
        <v>4426.1000000000004</v>
      </c>
      <c r="GJ47" s="26">
        <v>4242.7640000000001</v>
      </c>
      <c r="GK47" s="26">
        <v>5486.335</v>
      </c>
      <c r="GL47" s="26">
        <v>362.933999999999</v>
      </c>
      <c r="GM47" s="26">
        <v>378.98200000000003</v>
      </c>
      <c r="GN47" s="26">
        <v>494.22800000000001</v>
      </c>
      <c r="GO47" s="26">
        <v>-63.2899999999999</v>
      </c>
      <c r="GP47" s="26">
        <v>4663.4662399999897</v>
      </c>
      <c r="GQ47" s="26">
        <v>47065.638667229403</v>
      </c>
      <c r="GR47" s="26">
        <v>10.853652155172201</v>
      </c>
      <c r="GS47" s="26">
        <v>1.46265940624357</v>
      </c>
      <c r="GT47" s="26">
        <v>-3.40622515701995</v>
      </c>
      <c r="GU47" s="26">
        <v>5.3955889259787302</v>
      </c>
      <c r="GV47" s="26">
        <v>4.5965626824377104</v>
      </c>
    </row>
    <row r="48" spans="38:204" x14ac:dyDescent="0.25">
      <c r="AL48" s="26" t="s">
        <v>216</v>
      </c>
      <c r="AM48" s="26">
        <v>14</v>
      </c>
      <c r="AN48" s="26">
        <v>-6.5713344316309499E-2</v>
      </c>
      <c r="AO48" s="26">
        <v>3436.5999999999899</v>
      </c>
      <c r="AP48" s="26">
        <v>3497.74999999999</v>
      </c>
      <c r="AQ48" s="26">
        <v>576.25900000000104</v>
      </c>
      <c r="AR48" s="26">
        <v>701.58483544069895</v>
      </c>
      <c r="AS48" s="26">
        <v>-41.198999999999998</v>
      </c>
      <c r="AT48" s="26">
        <v>105.576799999999</v>
      </c>
      <c r="AU48" s="26">
        <v>3.7128662011237497E-2</v>
      </c>
      <c r="AV48" s="26">
        <v>-430.96857142857101</v>
      </c>
      <c r="AW48" s="26">
        <v>761.454671660445</v>
      </c>
      <c r="AX48" s="26">
        <v>5.99999999997251</v>
      </c>
      <c r="AY48" s="26">
        <v>1.02788835614002E-2</v>
      </c>
      <c r="AZ48" s="26">
        <v>2.4951798251870098E-2</v>
      </c>
      <c r="BA48" s="26">
        <v>4.2742374415287103E-2</v>
      </c>
      <c r="BB48" s="26">
        <v>0.42263578695941401</v>
      </c>
      <c r="BC48" s="26">
        <v>1770.6502682738101</v>
      </c>
      <c r="BD48" s="26">
        <v>3254.3654787894602</v>
      </c>
      <c r="BE48" s="26">
        <v>1848.99769409241</v>
      </c>
      <c r="BF48" s="26">
        <v>1221.21074369899</v>
      </c>
      <c r="BG48" s="26">
        <v>0.57736421304059105</v>
      </c>
      <c r="BH48" s="26">
        <v>10.884570252085901</v>
      </c>
      <c r="BI48" s="26">
        <v>8322.2199811510909</v>
      </c>
      <c r="BJ48" s="26">
        <v>6713.5656523574598</v>
      </c>
      <c r="BK48" s="26">
        <v>6005.7913796583198</v>
      </c>
      <c r="BL48" s="26">
        <v>6.1637127199085699E-2</v>
      </c>
      <c r="BM48" s="26">
        <v>0.42049625773563698</v>
      </c>
      <c r="BN48" s="26">
        <v>8902.7330900170491</v>
      </c>
      <c r="BO48" s="26">
        <v>7251.3803439496296</v>
      </c>
      <c r="BP48" s="26">
        <v>6548.6938630008199</v>
      </c>
      <c r="BQ48" s="26">
        <v>8.8500105230925205E-2</v>
      </c>
      <c r="BR48" s="26">
        <v>0.57950374226436596</v>
      </c>
      <c r="BS48" s="26">
        <v>30076.709999999701</v>
      </c>
      <c r="BT48" s="26">
        <v>20.674244670576599</v>
      </c>
      <c r="BU48" s="26">
        <v>-238.374700948982</v>
      </c>
      <c r="BV48" s="26">
        <v>36.0213592824988</v>
      </c>
      <c r="BW48" s="26">
        <v>616.70999999999901</v>
      </c>
      <c r="BX48" s="26">
        <v>623.56700000000001</v>
      </c>
      <c r="BY48" s="26">
        <v>616.98000000000195</v>
      </c>
      <c r="BZ48" s="26">
        <v>566.01</v>
      </c>
      <c r="CA48" s="26">
        <v>3.0436457092400602</v>
      </c>
      <c r="CB48" s="26">
        <v>-430.96857142857101</v>
      </c>
      <c r="CC48" s="26">
        <v>252.04999999999899</v>
      </c>
      <c r="CD48" s="26">
        <v>72883.099999999904</v>
      </c>
      <c r="CE48" s="26">
        <v>0.56908580719969704</v>
      </c>
      <c r="CF48" s="26">
        <v>1.3501435686846099</v>
      </c>
      <c r="CG48" s="26">
        <v>1.1200431046275501</v>
      </c>
      <c r="CH48" s="26">
        <v>177.99659223857699</v>
      </c>
      <c r="CI48" s="26">
        <v>116.32652733903799</v>
      </c>
      <c r="CJ48" s="26">
        <v>179.212482650184</v>
      </c>
      <c r="CK48" s="26">
        <v>554.06000000000199</v>
      </c>
      <c r="CL48" s="26">
        <v>553.87300000000005</v>
      </c>
      <c r="CM48" s="26">
        <v>561.18999999999801</v>
      </c>
      <c r="CN48" s="26">
        <v>526.28999999999803</v>
      </c>
      <c r="CO48" s="26">
        <v>548.46500000000106</v>
      </c>
      <c r="CP48" s="26">
        <v>543.19000000000005</v>
      </c>
      <c r="CQ48" s="26">
        <v>8960.3599999999697</v>
      </c>
      <c r="CR48" s="26">
        <v>550.16399999999999</v>
      </c>
      <c r="CS48" s="26">
        <v>1</v>
      </c>
      <c r="CT48" s="26">
        <v>95.919970512800901</v>
      </c>
      <c r="CU48" s="26">
        <v>0.123800969188761</v>
      </c>
      <c r="CV48" s="26">
        <v>0.55972259268464197</v>
      </c>
      <c r="CW48" s="26">
        <v>0.81938021654559401</v>
      </c>
      <c r="CX48" s="26">
        <v>761.454671660445</v>
      </c>
      <c r="CY48" s="26">
        <v>30.341000000000001</v>
      </c>
      <c r="CZ48" s="26">
        <v>11943.66</v>
      </c>
      <c r="DA48" s="26">
        <v>75.386999999999802</v>
      </c>
      <c r="DB48" s="40">
        <v>7.7869730026110199E-11</v>
      </c>
      <c r="DC48" s="26">
        <v>1.0781696842799901E-4</v>
      </c>
      <c r="DD48" s="26">
        <v>309.15499999999997</v>
      </c>
      <c r="DE48" s="26">
        <v>6</v>
      </c>
      <c r="DF48" s="26">
        <v>992.19999999999595</v>
      </c>
      <c r="DG48" s="26">
        <v>1834.79999999999</v>
      </c>
      <c r="DH48" s="26">
        <v>1618.29999999999</v>
      </c>
      <c r="DI48" s="26">
        <v>483.30000000000098</v>
      </c>
      <c r="DJ48" s="26">
        <v>46.417050377853201</v>
      </c>
      <c r="DK48" s="26">
        <v>0.26855089039935998</v>
      </c>
      <c r="DL48" s="26">
        <v>0.88066173968561601</v>
      </c>
      <c r="DM48" s="26">
        <v>0.390275953037866</v>
      </c>
      <c r="DN48" s="26">
        <v>161.819999999999</v>
      </c>
      <c r="DO48" s="26">
        <v>284.46800000000002</v>
      </c>
      <c r="DP48" s="26">
        <v>-52.46</v>
      </c>
      <c r="DQ48" s="26">
        <v>151.86000000000001</v>
      </c>
      <c r="DR48" s="26">
        <v>-47.050000000000097</v>
      </c>
      <c r="DS48" s="26">
        <v>167.22</v>
      </c>
      <c r="DT48" s="26">
        <v>51.979999999999798</v>
      </c>
      <c r="DU48" s="26">
        <v>160.29999999999899</v>
      </c>
      <c r="DV48" s="26">
        <v>822.4</v>
      </c>
      <c r="DW48" s="26">
        <v>25.99</v>
      </c>
      <c r="DX48" s="26">
        <v>-76.870000000000303</v>
      </c>
      <c r="DY48" s="26">
        <v>855.099999999999</v>
      </c>
      <c r="DZ48" s="26">
        <v>-148.599999999999</v>
      </c>
      <c r="EA48" s="26">
        <v>-309.79999999999899</v>
      </c>
      <c r="EB48" s="26">
        <v>7297.9699999999903</v>
      </c>
      <c r="EC48" s="26">
        <v>3065.3299999999899</v>
      </c>
      <c r="ED48" s="26">
        <v>466.68</v>
      </c>
      <c r="EE48" s="26">
        <v>2697.3999999999901</v>
      </c>
      <c r="EF48" s="26">
        <v>407.47</v>
      </c>
      <c r="EG48" s="26">
        <v>-339.96</v>
      </c>
      <c r="EH48" s="26">
        <v>-43.16</v>
      </c>
      <c r="EI48" s="26">
        <v>37.86</v>
      </c>
      <c r="EJ48" s="26">
        <v>77.870000000000104</v>
      </c>
      <c r="EK48" s="26">
        <v>-2700.1399999999899</v>
      </c>
      <c r="EL48" s="26">
        <v>1770.6502682738101</v>
      </c>
      <c r="EM48" s="26">
        <v>1547.12104861083</v>
      </c>
      <c r="EN48" s="26">
        <v>5.7970781454887002</v>
      </c>
      <c r="EO48" s="26">
        <v>5.1334523499065199</v>
      </c>
      <c r="EP48" s="26">
        <v>6.1465157292455901</v>
      </c>
      <c r="EQ48" s="26">
        <v>1E-3</v>
      </c>
      <c r="ER48" s="26">
        <v>743.60207480011104</v>
      </c>
      <c r="ES48" s="26">
        <v>1468.1870249390099</v>
      </c>
      <c r="ET48" s="26">
        <v>1656.40414899652</v>
      </c>
      <c r="EU48" s="26">
        <v>897.79344064148995</v>
      </c>
      <c r="EV48" s="26">
        <v>1069.4908404238499</v>
      </c>
      <c r="EW48" s="26">
        <v>1450.2321102163</v>
      </c>
      <c r="EX48" s="26">
        <v>76423</v>
      </c>
      <c r="EY48" s="26">
        <v>69.664706410020202</v>
      </c>
      <c r="EZ48" s="26">
        <v>19.328590393066399</v>
      </c>
      <c r="FA48" s="26">
        <v>19.889511108398398</v>
      </c>
      <c r="FB48" s="26">
        <v>34</v>
      </c>
      <c r="FC48" s="26">
        <v>5</v>
      </c>
      <c r="FD48" s="26">
        <v>2</v>
      </c>
      <c r="FE48" s="26">
        <v>54</v>
      </c>
      <c r="FF48" s="26">
        <v>4</v>
      </c>
      <c r="FG48" s="26">
        <v>3</v>
      </c>
      <c r="FH48" s="26">
        <v>46</v>
      </c>
      <c r="FI48" s="26">
        <v>7</v>
      </c>
      <c r="FJ48" s="26">
        <v>5</v>
      </c>
      <c r="FK48" s="26">
        <v>523</v>
      </c>
      <c r="FL48" s="26">
        <v>2036</v>
      </c>
      <c r="FM48" s="26">
        <v>1969</v>
      </c>
      <c r="FN48" s="26">
        <v>557.08999999999799</v>
      </c>
      <c r="FO48" s="26">
        <v>3368</v>
      </c>
      <c r="FP48" s="26">
        <v>3225.6</v>
      </c>
      <c r="FQ48" s="26">
        <v>5014.7</v>
      </c>
      <c r="FR48" s="26">
        <v>10518.2599999999</v>
      </c>
      <c r="FS48" s="26">
        <v>26.945306686692199</v>
      </c>
      <c r="FT48" s="26">
        <v>279.42999999999898</v>
      </c>
      <c r="FU48" s="26">
        <v>49407</v>
      </c>
      <c r="FV48" s="26">
        <v>9494.7400000000198</v>
      </c>
      <c r="FW48" s="26">
        <v>43457</v>
      </c>
      <c r="FX48" s="40">
        <v>3.71392571317347E-13</v>
      </c>
      <c r="FY48" s="26">
        <v>3444.0413686781299</v>
      </c>
      <c r="FZ48" s="26">
        <v>8481.1056887277391</v>
      </c>
      <c r="GA48" s="26">
        <v>9233.3824509540991</v>
      </c>
      <c r="GB48" s="26">
        <v>6051.8841361116301</v>
      </c>
      <c r="GC48" s="26">
        <v>6281.6324763080602</v>
      </c>
      <c r="GD48" s="26">
        <v>8243.7742019084908</v>
      </c>
      <c r="GE48" s="26">
        <v>562.9</v>
      </c>
      <c r="GF48" s="26">
        <v>750.46799999999996</v>
      </c>
      <c r="GG48" s="26">
        <v>1116.7079999999901</v>
      </c>
      <c r="GH48" s="26">
        <v>1285.55</v>
      </c>
      <c r="GI48" s="26">
        <v>12711.493999999901</v>
      </c>
      <c r="GJ48" s="26">
        <v>12265.9389999999</v>
      </c>
      <c r="GK48" s="26">
        <v>17365.215999999898</v>
      </c>
      <c r="GL48" s="26">
        <v>1306.9849999999999</v>
      </c>
      <c r="GM48" s="26">
        <v>1853.8420000000001</v>
      </c>
      <c r="GN48" s="26">
        <v>2661.7919999999999</v>
      </c>
      <c r="GO48" s="26">
        <v>-406.069999999998</v>
      </c>
      <c r="GP48" s="26">
        <v>14170.1953283332</v>
      </c>
      <c r="GQ48" s="26">
        <v>132688.28289532801</v>
      </c>
      <c r="GR48" s="26">
        <v>9.0296481054387705</v>
      </c>
      <c r="GS48" s="26">
        <v>-2.0349213442114</v>
      </c>
      <c r="GT48" s="26">
        <v>20.8598281116492</v>
      </c>
      <c r="GU48" s="26">
        <v>6.3047968079405097</v>
      </c>
      <c r="GV48" s="26">
        <v>6.5253587925884702</v>
      </c>
    </row>
    <row r="49" spans="38:204" x14ac:dyDescent="0.25">
      <c r="AL49" s="26" t="s">
        <v>217</v>
      </c>
      <c r="AM49" s="26">
        <v>7</v>
      </c>
      <c r="AN49" s="26">
        <v>5.8313901345291401E-2</v>
      </c>
      <c r="AO49" s="26">
        <v>1274.5999999999999</v>
      </c>
      <c r="AP49" s="26">
        <v>1269.6399999999901</v>
      </c>
      <c r="AQ49" s="26">
        <v>223.35799999999901</v>
      </c>
      <c r="AR49" s="26">
        <v>87.310216897653405</v>
      </c>
      <c r="AS49" s="26">
        <v>11.658399999999901</v>
      </c>
      <c r="AT49" s="26">
        <v>42.512799999999999</v>
      </c>
      <c r="AU49" s="26">
        <v>2.3478495370559498E-2</v>
      </c>
      <c r="AV49" s="26">
        <v>-457.59485714285699</v>
      </c>
      <c r="AW49" s="26">
        <v>168.03630159818499</v>
      </c>
      <c r="AX49" s="26">
        <v>8.0000000000012808</v>
      </c>
      <c r="AY49" s="26">
        <v>4.0528783161312698E-3</v>
      </c>
      <c r="AZ49" s="26">
        <v>1.9710874486185199E-2</v>
      </c>
      <c r="BA49" s="26">
        <v>4.1712198350889601E-2</v>
      </c>
      <c r="BB49" s="26">
        <v>0.462927920197654</v>
      </c>
      <c r="BC49" s="26">
        <v>626.64061224337297</v>
      </c>
      <c r="BD49" s="26">
        <v>699.16194307664</v>
      </c>
      <c r="BE49" s="26">
        <v>533.52762864503404</v>
      </c>
      <c r="BF49" s="26">
        <v>250.68213761140501</v>
      </c>
      <c r="BG49" s="26">
        <v>0.53707207980234795</v>
      </c>
      <c r="BH49" s="26">
        <v>1.2017104588477401</v>
      </c>
      <c r="BI49" s="26">
        <v>1199.24761731631</v>
      </c>
      <c r="BJ49" s="26">
        <v>306.30554696506698</v>
      </c>
      <c r="BK49" s="26">
        <v>185.51627094469899</v>
      </c>
      <c r="BL49" s="26">
        <v>1.13003565717897E-2</v>
      </c>
      <c r="BM49" s="26">
        <v>0.463610010160526</v>
      </c>
      <c r="BN49" s="26">
        <v>2459.86485991379</v>
      </c>
      <c r="BO49" s="26">
        <v>1498.8426064601299</v>
      </c>
      <c r="BP49" s="26">
        <v>1132.2553489404199</v>
      </c>
      <c r="BQ49" s="26">
        <v>4.5017937549542801E-2</v>
      </c>
      <c r="BR49" s="26">
        <v>0.53638998983947594</v>
      </c>
      <c r="BS49" s="26">
        <v>9177.6749999999793</v>
      </c>
      <c r="BT49" s="26">
        <v>26.9764251324676</v>
      </c>
      <c r="BU49" s="26">
        <v>-55.929686858688299</v>
      </c>
      <c r="BV49" s="26">
        <v>32.1634093049082</v>
      </c>
      <c r="BW49" s="26">
        <v>206.79999999999899</v>
      </c>
      <c r="BX49" s="26">
        <v>209.79799999999901</v>
      </c>
      <c r="BY49" s="26">
        <v>215.1</v>
      </c>
      <c r="BZ49" s="26">
        <v>227.38</v>
      </c>
      <c r="CA49" s="26">
        <v>2.4840486124542802</v>
      </c>
      <c r="CB49" s="26">
        <v>-457.59485714285597</v>
      </c>
      <c r="CC49" s="26">
        <v>99.579999999999899</v>
      </c>
      <c r="CD49" s="26">
        <v>26407.1</v>
      </c>
      <c r="CE49" s="26">
        <v>0.57722597842852497</v>
      </c>
      <c r="CF49" s="26">
        <v>0.976794086125782</v>
      </c>
      <c r="CG49" s="26">
        <v>1.0162599983739</v>
      </c>
      <c r="CH49" s="26">
        <v>151.40559529650699</v>
      </c>
      <c r="CI49" s="26">
        <v>42.045379594959002</v>
      </c>
      <c r="CJ49" s="26">
        <v>282.25017433819397</v>
      </c>
      <c r="CK49" s="26">
        <v>231.02999999999901</v>
      </c>
      <c r="CL49" s="26">
        <v>227.81899999999999</v>
      </c>
      <c r="CM49" s="26">
        <v>221.44999999999899</v>
      </c>
      <c r="CN49" s="26">
        <v>236.04999999999899</v>
      </c>
      <c r="CO49" s="26">
        <v>232.179</v>
      </c>
      <c r="CP49" s="26">
        <v>228.98999999999899</v>
      </c>
      <c r="CQ49" s="26">
        <v>3174.91</v>
      </c>
      <c r="CR49" s="26">
        <v>228.18</v>
      </c>
      <c r="CS49" s="26">
        <v>1</v>
      </c>
      <c r="CT49" s="26">
        <v>95.919970512800901</v>
      </c>
      <c r="CU49" s="26">
        <v>0.36672283792602101</v>
      </c>
      <c r="CV49" s="26">
        <v>0.20756907975334599</v>
      </c>
      <c r="CW49" s="26">
        <v>0.90687895403622198</v>
      </c>
      <c r="CX49" s="26">
        <v>168.03630159818499</v>
      </c>
      <c r="CY49" s="26">
        <v>-5.9889999999999901</v>
      </c>
      <c r="CZ49" s="26">
        <v>4636.8500000000004</v>
      </c>
      <c r="DA49" s="26">
        <v>14.5269999999999</v>
      </c>
      <c r="DB49" s="40">
        <v>4.8203462366827997E-11</v>
      </c>
      <c r="DC49" s="26">
        <v>1.4044922513758499E-4</v>
      </c>
      <c r="DD49" s="26">
        <v>37.195999999999998</v>
      </c>
      <c r="DE49" s="26">
        <v>8</v>
      </c>
      <c r="DF49" s="26">
        <v>402.4</v>
      </c>
      <c r="DG49" s="26">
        <v>379.4</v>
      </c>
      <c r="DH49" s="26">
        <v>336.49999999999898</v>
      </c>
      <c r="DI49" s="26">
        <v>451.79999999999899</v>
      </c>
      <c r="DJ49" s="26">
        <v>28.7334056547746</v>
      </c>
      <c r="DK49" s="26">
        <v>4.3277858398326602E-4</v>
      </c>
      <c r="DL49" s="26">
        <v>0.85394392714003997</v>
      </c>
      <c r="DM49" s="26">
        <v>0.52036485469653104</v>
      </c>
      <c r="DN49" s="26">
        <v>68.989999999999895</v>
      </c>
      <c r="DO49" s="26">
        <v>121.47</v>
      </c>
      <c r="DP49" s="26">
        <v>5.92</v>
      </c>
      <c r="DQ49" s="26">
        <v>66.759999999999906</v>
      </c>
      <c r="DR49" s="26">
        <v>28.1299999999999</v>
      </c>
      <c r="DS49" s="26">
        <v>98.86</v>
      </c>
      <c r="DT49" s="26">
        <v>-10.309999999999899</v>
      </c>
      <c r="DU49" s="26">
        <v>-68.199999999999903</v>
      </c>
      <c r="DV49" s="26">
        <v>376.79999999999899</v>
      </c>
      <c r="DW49" s="26">
        <v>30.939999999999898</v>
      </c>
      <c r="DX49" s="26">
        <v>25.25</v>
      </c>
      <c r="DY49" s="26">
        <v>415.89999999999901</v>
      </c>
      <c r="DZ49" s="26">
        <v>-3.4</v>
      </c>
      <c r="EA49" s="26">
        <v>-8.3000000000000096</v>
      </c>
      <c r="EB49" s="26">
        <v>2872.43</v>
      </c>
      <c r="EC49" s="26">
        <v>1227.9000000000001</v>
      </c>
      <c r="ED49" s="26">
        <v>209.31</v>
      </c>
      <c r="EE49" s="26">
        <v>1010.9</v>
      </c>
      <c r="EF49" s="26">
        <v>163.229999999999</v>
      </c>
      <c r="EG49" s="26">
        <v>-45.339999999999897</v>
      </c>
      <c r="EH49" s="26">
        <v>-15.97</v>
      </c>
      <c r="EI49" s="26">
        <v>51.219999999999899</v>
      </c>
      <c r="EJ49" s="26">
        <v>-93.35</v>
      </c>
      <c r="EK49" s="26">
        <v>-704.5</v>
      </c>
      <c r="EL49" s="26">
        <v>626.64061224337297</v>
      </c>
      <c r="EM49" s="26">
        <v>229.38742104695299</v>
      </c>
      <c r="EN49" s="26">
        <v>0.70018761178212696</v>
      </c>
      <c r="EO49" s="26">
        <v>0.79573685572831099</v>
      </c>
      <c r="EP49" s="26">
        <v>0.54443501569384201</v>
      </c>
      <c r="EQ49" s="26">
        <v>1E-3</v>
      </c>
      <c r="ER49" s="26">
        <v>179.16430430770799</v>
      </c>
      <c r="ES49" s="26">
        <v>158.59344949689299</v>
      </c>
      <c r="ET49" s="26">
        <v>1252.31859788167</v>
      </c>
      <c r="EU49" s="26">
        <v>297.06749231580602</v>
      </c>
      <c r="EV49" s="26">
        <v>132.66588200947299</v>
      </c>
      <c r="EW49" s="26">
        <v>1278.1719190994199</v>
      </c>
      <c r="EX49" s="26">
        <v>27448</v>
      </c>
      <c r="EY49" s="26">
        <v>23.487821089997901</v>
      </c>
      <c r="EZ49" s="26">
        <v>9.8024215698242099</v>
      </c>
      <c r="FA49" s="26">
        <v>10.6919136047363</v>
      </c>
      <c r="FB49" s="26">
        <v>8</v>
      </c>
      <c r="FC49" s="26">
        <v>1</v>
      </c>
      <c r="FD49" s="26">
        <v>0</v>
      </c>
      <c r="FE49" s="26">
        <v>31</v>
      </c>
      <c r="FF49" s="26">
        <v>0</v>
      </c>
      <c r="FG49" s="26">
        <v>0</v>
      </c>
      <c r="FH49" s="26">
        <v>9</v>
      </c>
      <c r="FI49" s="26">
        <v>3</v>
      </c>
      <c r="FJ49" s="26">
        <v>1</v>
      </c>
      <c r="FK49" s="26">
        <v>164</v>
      </c>
      <c r="FL49" s="26">
        <v>525</v>
      </c>
      <c r="FM49" s="26">
        <v>782</v>
      </c>
      <c r="FN49" s="26">
        <v>229.29999999999899</v>
      </c>
      <c r="FO49" s="26">
        <v>1283.0999999999999</v>
      </c>
      <c r="FP49" s="26">
        <v>1499.1</v>
      </c>
      <c r="FQ49" s="26">
        <v>1846</v>
      </c>
      <c r="FR49" s="26">
        <v>1593.06</v>
      </c>
      <c r="FS49" s="26">
        <v>16.881727772916399</v>
      </c>
      <c r="FT49" s="26">
        <v>158.20999999999901</v>
      </c>
      <c r="FU49" s="26">
        <v>19960</v>
      </c>
      <c r="FV49" s="26">
        <v>3302.08</v>
      </c>
      <c r="FW49" s="26">
        <v>17568</v>
      </c>
      <c r="FX49" s="40">
        <v>2.0228028957061701E-13</v>
      </c>
      <c r="FY49" s="26">
        <v>699.16194307664</v>
      </c>
      <c r="FZ49" s="26">
        <v>1273.16002225535</v>
      </c>
      <c r="GA49" s="26">
        <v>2581.5560554257099</v>
      </c>
      <c r="GB49" s="26">
        <v>1211.24476237206</v>
      </c>
      <c r="GC49" s="26">
        <v>1303.4067674437299</v>
      </c>
      <c r="GD49" s="26">
        <v>2540.2515690437399</v>
      </c>
      <c r="GE49" s="26">
        <v>227.439999999999</v>
      </c>
      <c r="GF49" s="26">
        <v>180.9</v>
      </c>
      <c r="GG49" s="26">
        <v>215.47800000000001</v>
      </c>
      <c r="GH49" s="26">
        <v>382.82100000000003</v>
      </c>
      <c r="GI49" s="26">
        <v>4248.6019999999999</v>
      </c>
      <c r="GJ49" s="26">
        <v>4095.9830000000002</v>
      </c>
      <c r="GK49" s="26">
        <v>4929.0730000000003</v>
      </c>
      <c r="GL49" s="26">
        <v>363.07499999999902</v>
      </c>
      <c r="GM49" s="26">
        <v>103.711</v>
      </c>
      <c r="GN49" s="26">
        <v>413.16</v>
      </c>
      <c r="GO49" s="26">
        <v>-61.649999999999899</v>
      </c>
      <c r="GP49" s="26">
        <v>4344.0646916666701</v>
      </c>
      <c r="GQ49" s="26">
        <v>44227.405032710798</v>
      </c>
      <c r="GR49" s="26">
        <v>5.8893434977577401</v>
      </c>
      <c r="GS49" s="26">
        <v>-0.55827169340302996</v>
      </c>
      <c r="GT49" s="26">
        <v>27.2286685592418</v>
      </c>
      <c r="GU49" s="26">
        <v>9.6775208178897696</v>
      </c>
      <c r="GV49" s="26">
        <v>9.3789310552863796</v>
      </c>
    </row>
    <row r="50" spans="38:204" x14ac:dyDescent="0.25">
      <c r="AL50" s="26" t="s">
        <v>218</v>
      </c>
      <c r="AM50" s="26">
        <v>3</v>
      </c>
      <c r="AN50" s="26">
        <v>-0.156427419354838</v>
      </c>
      <c r="AO50" s="26">
        <v>668.3</v>
      </c>
      <c r="AP50" s="26">
        <v>658.29</v>
      </c>
      <c r="AQ50" s="26">
        <v>124.33499999999999</v>
      </c>
      <c r="AR50" s="26">
        <v>41.316111201595298</v>
      </c>
      <c r="AS50" s="26">
        <v>-20.7788</v>
      </c>
      <c r="AT50" s="26">
        <v>12.764200000000001</v>
      </c>
      <c r="AU50" s="26">
        <v>2.47558053749217E-2</v>
      </c>
      <c r="AV50" s="26">
        <v>-200.545619047619</v>
      </c>
      <c r="AW50" s="26">
        <v>362.18952658723299</v>
      </c>
      <c r="AX50" s="26">
        <v>6.0000000000004103</v>
      </c>
      <c r="AY50" s="26">
        <v>3.1032873698044901E-3</v>
      </c>
      <c r="AZ50" s="26">
        <v>2.1585163811961901E-2</v>
      </c>
      <c r="BA50" s="26">
        <v>3.5897787157895697E-2</v>
      </c>
      <c r="BB50" s="26">
        <v>0.44993271715662603</v>
      </c>
      <c r="BC50" s="26">
        <v>645.26103530729404</v>
      </c>
      <c r="BD50" s="26">
        <v>313.56981862292901</v>
      </c>
      <c r="BE50" s="26">
        <v>224.897930368761</v>
      </c>
      <c r="BF50" s="26">
        <v>113.74836706939899</v>
      </c>
      <c r="BG50" s="26">
        <v>0.55006728284337503</v>
      </c>
      <c r="BH50" s="26">
        <v>3.5009023826560699</v>
      </c>
      <c r="BI50" s="26">
        <v>1272.68391572051</v>
      </c>
      <c r="BJ50" s="26">
        <v>647.42782124532403</v>
      </c>
      <c r="BK50" s="26">
        <v>560.67928171561005</v>
      </c>
      <c r="BL50" s="26">
        <v>2.5820486805284999E-2</v>
      </c>
      <c r="BM50" s="26">
        <v>0.44590359503006</v>
      </c>
      <c r="BN50" s="26">
        <v>2241.6050011573502</v>
      </c>
      <c r="BO50" s="26">
        <v>1492.39546816184</v>
      </c>
      <c r="BP50" s="26">
        <v>1328.4951029717299</v>
      </c>
      <c r="BQ50" s="26">
        <v>7.4611607467753596E-2</v>
      </c>
      <c r="BR50" s="26">
        <v>0.55409640496994095</v>
      </c>
      <c r="BS50" s="26">
        <v>7007.7299999999796</v>
      </c>
      <c r="BT50" s="26">
        <v>20.1687561819774</v>
      </c>
      <c r="BU50" s="26">
        <v>-89.743131817341407</v>
      </c>
      <c r="BV50" s="26">
        <v>6.34281092359294</v>
      </c>
      <c r="BW50" s="26">
        <v>121.599999999999</v>
      </c>
      <c r="BX50" s="26">
        <v>124.815</v>
      </c>
      <c r="BY50" s="26">
        <v>127.039999999999</v>
      </c>
      <c r="BZ50" s="26">
        <v>125.04</v>
      </c>
      <c r="CA50" s="26">
        <v>1.6546646741886699</v>
      </c>
      <c r="CB50" s="26">
        <v>-200.545619047619</v>
      </c>
      <c r="CC50" s="26">
        <v>54.29</v>
      </c>
      <c r="CD50" s="26">
        <v>14771.1</v>
      </c>
      <c r="CE50" s="26">
        <v>0.54511856016224403</v>
      </c>
      <c r="CF50" s="26">
        <v>1.15302601614046</v>
      </c>
      <c r="CG50" s="26">
        <v>1.11140264813761</v>
      </c>
      <c r="CH50" s="26">
        <v>95.872054735395906</v>
      </c>
      <c r="CI50" s="26">
        <v>70.656831624653506</v>
      </c>
      <c r="CJ50" s="26">
        <v>337.44336729764302</v>
      </c>
      <c r="CK50" s="26">
        <v>122.689999999999</v>
      </c>
      <c r="CL50" s="26">
        <v>121.02500000000001</v>
      </c>
      <c r="CM50" s="26">
        <v>120.05999999999899</v>
      </c>
      <c r="CN50" s="26">
        <v>127.73</v>
      </c>
      <c r="CO50" s="26">
        <v>124.452</v>
      </c>
      <c r="CP50" s="26">
        <v>122.609999999999</v>
      </c>
      <c r="CQ50" s="26">
        <v>1783.64</v>
      </c>
      <c r="CR50" s="26">
        <v>124.26900000000001</v>
      </c>
      <c r="CS50" s="26">
        <v>1</v>
      </c>
      <c r="CT50" s="26">
        <v>95.919970512800901</v>
      </c>
      <c r="CU50" s="26">
        <v>0.98009985081694595</v>
      </c>
      <c r="CV50" s="26">
        <v>4.7550391136459098E-2</v>
      </c>
      <c r="CW50" s="26">
        <v>0.19272582268956301</v>
      </c>
      <c r="CX50" s="26">
        <v>362.18952658723299</v>
      </c>
      <c r="CY50" s="26">
        <v>2.9609999999999901</v>
      </c>
      <c r="CZ50" s="26">
        <v>2539.4199999999901</v>
      </c>
      <c r="DA50" s="26">
        <v>15.8209999999999</v>
      </c>
      <c r="DB50" s="40">
        <v>4.1688056584257903E-11</v>
      </c>
      <c r="DC50" s="26">
        <v>1.04980400210339E-4</v>
      </c>
      <c r="DD50" s="26">
        <v>21.747</v>
      </c>
      <c r="DE50" s="26">
        <v>6</v>
      </c>
      <c r="DF50" s="26">
        <v>43.799999999999898</v>
      </c>
      <c r="DG50" s="26">
        <v>15.1</v>
      </c>
      <c r="DH50" s="26">
        <v>0.499999999999999</v>
      </c>
      <c r="DI50" s="26">
        <v>39.1</v>
      </c>
      <c r="DJ50" s="26">
        <v>24.849663944866201</v>
      </c>
      <c r="DK50" s="26">
        <v>0.71204485313231103</v>
      </c>
      <c r="DL50" s="26">
        <v>7.0812358496504899E-2</v>
      </c>
      <c r="DM50" s="26">
        <v>0.69855403299383101</v>
      </c>
      <c r="DN50" s="26">
        <v>-7.5900000000000096</v>
      </c>
      <c r="DO50" s="26">
        <v>58.398000000000003</v>
      </c>
      <c r="DP50" s="26">
        <v>22.38</v>
      </c>
      <c r="DQ50" s="26">
        <v>31.8799999999999</v>
      </c>
      <c r="DR50" s="26">
        <v>-16.5199999999999</v>
      </c>
      <c r="DS50" s="26">
        <v>28.74</v>
      </c>
      <c r="DT50" s="26">
        <v>10.229999999999899</v>
      </c>
      <c r="DU50" s="26">
        <v>10.899999999999901</v>
      </c>
      <c r="DV50" s="26">
        <v>363.1</v>
      </c>
      <c r="DW50" s="26">
        <v>-19.989999999999998</v>
      </c>
      <c r="DX50" s="26">
        <v>-26.639999999999901</v>
      </c>
      <c r="DY50" s="26">
        <v>126.5</v>
      </c>
      <c r="DZ50" s="26">
        <v>-24.1999999999999</v>
      </c>
      <c r="EA50" s="26">
        <v>-82.2</v>
      </c>
      <c r="EB50" s="26">
        <v>1558.42</v>
      </c>
      <c r="EC50" s="26">
        <v>639.91</v>
      </c>
      <c r="ED50" s="26">
        <v>103.849999999999</v>
      </c>
      <c r="EE50" s="26">
        <v>466.3</v>
      </c>
      <c r="EF50" s="26">
        <v>88.179999999999893</v>
      </c>
      <c r="EG50" s="26">
        <v>-85.55</v>
      </c>
      <c r="EH50" s="26">
        <v>-24.06</v>
      </c>
      <c r="EI50" s="26">
        <v>-5.05</v>
      </c>
      <c r="EJ50" s="26">
        <v>-12.489999999999901</v>
      </c>
      <c r="EK50" s="26">
        <v>-604.27999999999895</v>
      </c>
      <c r="EL50" s="26">
        <v>645.26103530729404</v>
      </c>
      <c r="EM50" s="26">
        <v>389.23051490649698</v>
      </c>
      <c r="EN50" s="26">
        <v>0.323537565684477</v>
      </c>
      <c r="EO50" s="26">
        <v>0.361656349753323</v>
      </c>
      <c r="EP50" s="26">
        <v>0.25069989801708398</v>
      </c>
      <c r="EQ50" s="26">
        <v>1E-3</v>
      </c>
      <c r="ER50" s="26">
        <v>86.339545446490504</v>
      </c>
      <c r="ES50" s="26">
        <v>290.86876675270003</v>
      </c>
      <c r="ET50" s="26">
        <v>1833.4694023904899</v>
      </c>
      <c r="EU50" s="26">
        <v>189.44352472253701</v>
      </c>
      <c r="EV50" s="26">
        <v>212.44092619123401</v>
      </c>
      <c r="EW50" s="26">
        <v>1572.89849319778</v>
      </c>
      <c r="EX50" s="26">
        <v>15892</v>
      </c>
      <c r="EY50" s="26">
        <v>13.6884379400006</v>
      </c>
      <c r="EZ50" s="26">
        <v>8.90974521636962</v>
      </c>
      <c r="FA50" s="26">
        <v>8.5174474716186506</v>
      </c>
      <c r="FB50" s="26">
        <v>6</v>
      </c>
      <c r="FC50" s="26">
        <v>0</v>
      </c>
      <c r="FD50" s="26">
        <v>0</v>
      </c>
      <c r="FE50" s="26">
        <v>16</v>
      </c>
      <c r="FF50" s="26">
        <v>0</v>
      </c>
      <c r="FG50" s="26">
        <v>0</v>
      </c>
      <c r="FH50" s="26">
        <v>6</v>
      </c>
      <c r="FI50" s="26">
        <v>2</v>
      </c>
      <c r="FJ50" s="26">
        <v>1</v>
      </c>
      <c r="FK50" s="26">
        <v>93</v>
      </c>
      <c r="FL50" s="26">
        <v>377</v>
      </c>
      <c r="FM50" s="26">
        <v>399</v>
      </c>
      <c r="FN50" s="26">
        <v>113.05</v>
      </c>
      <c r="FO50" s="26">
        <v>738.39999999999895</v>
      </c>
      <c r="FP50" s="26">
        <v>664.9</v>
      </c>
      <c r="FQ50" s="26">
        <v>1090.9000000000001</v>
      </c>
      <c r="FR50" s="26">
        <v>1543.97</v>
      </c>
      <c r="FS50" s="26">
        <v>15.0445056134106</v>
      </c>
      <c r="FT50" s="26">
        <v>94.629999999999896</v>
      </c>
      <c r="FU50" s="26">
        <v>11031</v>
      </c>
      <c r="FV50" s="26">
        <v>1980.0699999999899</v>
      </c>
      <c r="FW50" s="26">
        <v>10395</v>
      </c>
      <c r="FX50" s="40">
        <v>1.36311128139705E-13</v>
      </c>
      <c r="FY50" s="26">
        <v>313.56981862292901</v>
      </c>
      <c r="FZ50" s="26">
        <v>1303.50664130051</v>
      </c>
      <c r="GA50" s="26">
        <v>2250.21271206645</v>
      </c>
      <c r="GB50" s="26">
        <v>575.23232841237495</v>
      </c>
      <c r="GC50" s="26">
        <v>1130.50930599445</v>
      </c>
      <c r="GD50" s="26">
        <v>2024.6602037858499</v>
      </c>
      <c r="GE50" s="26">
        <v>121.8</v>
      </c>
      <c r="GF50" s="26">
        <v>151.26300000000001</v>
      </c>
      <c r="GG50" s="26">
        <v>173.481999999999</v>
      </c>
      <c r="GH50" s="26">
        <v>251.56200000000001</v>
      </c>
      <c r="GI50" s="26">
        <v>3153.0069999999901</v>
      </c>
      <c r="GJ50" s="26">
        <v>3055.288</v>
      </c>
      <c r="GK50" s="26">
        <v>3854.723</v>
      </c>
      <c r="GL50" s="26">
        <v>244.671999999999</v>
      </c>
      <c r="GM50" s="26">
        <v>180.94300000000001</v>
      </c>
      <c r="GN50" s="26">
        <v>522.85799999999995</v>
      </c>
      <c r="GO50" s="26">
        <v>-88.72</v>
      </c>
      <c r="GP50" s="26">
        <v>3312.4542566666601</v>
      </c>
      <c r="GQ50" s="26">
        <v>25153.847220996799</v>
      </c>
      <c r="GR50" s="26">
        <v>4.5194717741935104</v>
      </c>
      <c r="GS50" s="26">
        <v>-8.4042277208255897E-2</v>
      </c>
      <c r="GT50" s="26">
        <v>20.3584690123649</v>
      </c>
      <c r="GU50" s="26">
        <v>9.5779604372337293</v>
      </c>
      <c r="GV50" s="26">
        <v>9.5032090562070408</v>
      </c>
    </row>
    <row r="51" spans="38:204" x14ac:dyDescent="0.25">
      <c r="AL51" s="26" t="s">
        <v>219</v>
      </c>
      <c r="AM51" s="26">
        <v>3</v>
      </c>
      <c r="AN51" s="26">
        <v>-0.156427419354838</v>
      </c>
      <c r="AO51" s="26">
        <v>668.3</v>
      </c>
      <c r="AP51" s="26">
        <v>658.29</v>
      </c>
      <c r="AQ51" s="26">
        <v>124.33499999999999</v>
      </c>
      <c r="AR51" s="26">
        <v>24.5937552093961</v>
      </c>
      <c r="AS51" s="26">
        <v>-20.7788</v>
      </c>
      <c r="AT51" s="26">
        <v>12.764200000000001</v>
      </c>
      <c r="AU51" s="26">
        <v>2.0415978110751999E-2</v>
      </c>
      <c r="AV51" s="26">
        <v>-205.017523809523</v>
      </c>
      <c r="AW51" s="26">
        <v>428.253629111956</v>
      </c>
      <c r="AX51" s="26">
        <v>6.0000000000004201</v>
      </c>
      <c r="AY51" s="26">
        <v>2.80117037582259E-3</v>
      </c>
      <c r="AZ51" s="26">
        <v>1.9815508166318201E-2</v>
      </c>
      <c r="BA51" s="26">
        <v>3.7432799596881602E-2</v>
      </c>
      <c r="BB51" s="26">
        <v>0.47000623407604097</v>
      </c>
      <c r="BC51" s="26">
        <v>634.50587550065802</v>
      </c>
      <c r="BD51" s="26">
        <v>248.18899051151701</v>
      </c>
      <c r="BE51" s="26">
        <v>166.18288794128699</v>
      </c>
      <c r="BF51" s="26">
        <v>104.329338611596</v>
      </c>
      <c r="BG51" s="26">
        <v>0.52999376592395997</v>
      </c>
      <c r="BH51" s="26">
        <v>27.246532607991298</v>
      </c>
      <c r="BI51" s="26">
        <v>1277.76447992725</v>
      </c>
      <c r="BJ51" s="26">
        <v>702.14382231668299</v>
      </c>
      <c r="BK51" s="26">
        <v>598.59890032975795</v>
      </c>
      <c r="BL51" s="26">
        <v>2.1806555466256101E-2</v>
      </c>
      <c r="BM51" s="26">
        <v>0.465517903866077</v>
      </c>
      <c r="BN51" s="26">
        <v>2155.0851717066498</v>
      </c>
      <c r="BO51" s="26">
        <v>1541.2399960057701</v>
      </c>
      <c r="BP51" s="26">
        <v>1357.8769992739001</v>
      </c>
      <c r="BQ51" s="26">
        <v>7.7498462665452503E-2</v>
      </c>
      <c r="BR51" s="26">
        <v>0.53448209613392395</v>
      </c>
      <c r="BS51" s="26">
        <v>6844.6389999999901</v>
      </c>
      <c r="BT51" s="26">
        <v>20.165163791662302</v>
      </c>
      <c r="BU51" s="26">
        <v>-89.743131817341407</v>
      </c>
      <c r="BV51" s="26">
        <v>6.34281092359294</v>
      </c>
      <c r="BW51" s="26">
        <v>121.599999999999</v>
      </c>
      <c r="BX51" s="26">
        <v>124.815</v>
      </c>
      <c r="BY51" s="26">
        <v>127.039999999999</v>
      </c>
      <c r="BZ51" s="26">
        <v>125.04</v>
      </c>
      <c r="CA51" s="26">
        <v>1.64237870079126</v>
      </c>
      <c r="CB51" s="26">
        <v>-205.017523809523</v>
      </c>
      <c r="CC51" s="26">
        <v>54.29</v>
      </c>
      <c r="CD51" s="26">
        <v>14771.1</v>
      </c>
      <c r="CE51" s="26">
        <v>0.52076806746358795</v>
      </c>
      <c r="CF51" s="26">
        <v>1.2136099810829699</v>
      </c>
      <c r="CG51" s="26">
        <v>1.15438859239013</v>
      </c>
      <c r="CH51" s="26">
        <v>119.14564564237099</v>
      </c>
      <c r="CI51" s="26">
        <v>67.038856529430603</v>
      </c>
      <c r="CJ51" s="26">
        <v>210.237796051255</v>
      </c>
      <c r="CK51" s="26">
        <v>122.689999999999</v>
      </c>
      <c r="CL51" s="26">
        <v>121.02500000000001</v>
      </c>
      <c r="CM51" s="26">
        <v>120.05999999999899</v>
      </c>
      <c r="CN51" s="26">
        <v>127.73</v>
      </c>
      <c r="CO51" s="26">
        <v>124.452</v>
      </c>
      <c r="CP51" s="26">
        <v>122.609999999999</v>
      </c>
      <c r="CQ51" s="26">
        <v>1783.64</v>
      </c>
      <c r="CR51" s="26">
        <v>124.26900000000001</v>
      </c>
      <c r="CS51" s="26">
        <v>1</v>
      </c>
      <c r="CT51" s="26">
        <v>95.919970512800901</v>
      </c>
      <c r="CU51" s="26">
        <v>0.65605814335514201</v>
      </c>
      <c r="CV51" s="26">
        <v>0.26321068924449897</v>
      </c>
      <c r="CW51" s="26">
        <v>0.70732442740572599</v>
      </c>
      <c r="CX51" s="26">
        <v>428.253629111956</v>
      </c>
      <c r="CY51" s="26">
        <v>2.9609999999999901</v>
      </c>
      <c r="CZ51" s="26">
        <v>2539.4199999999901</v>
      </c>
      <c r="DA51" s="26">
        <v>15.8209999999999</v>
      </c>
      <c r="DB51" s="40">
        <v>4.2678049992097201E-11</v>
      </c>
      <c r="DC51" s="26">
        <v>1.04960254903072E-4</v>
      </c>
      <c r="DD51" s="26">
        <v>19.172999999999998</v>
      </c>
      <c r="DE51" s="26">
        <v>6</v>
      </c>
      <c r="DF51" s="26">
        <v>43.799999999999898</v>
      </c>
      <c r="DG51" s="26">
        <v>15.1</v>
      </c>
      <c r="DH51" s="26">
        <v>0.499999999999999</v>
      </c>
      <c r="DI51" s="26">
        <v>39.1</v>
      </c>
      <c r="DJ51" s="26">
        <v>25.439785085263299</v>
      </c>
      <c r="DK51" s="26">
        <v>5.4415208070148303E-2</v>
      </c>
      <c r="DL51" s="26">
        <v>0.29392213201614598</v>
      </c>
      <c r="DM51" s="26">
        <v>0.95427918631905895</v>
      </c>
      <c r="DN51" s="26">
        <v>-7.5900000000000096</v>
      </c>
      <c r="DO51" s="26">
        <v>58.398000000000003</v>
      </c>
      <c r="DP51" s="26">
        <v>22.38</v>
      </c>
      <c r="DQ51" s="26">
        <v>31.8799999999999</v>
      </c>
      <c r="DR51" s="26">
        <v>-16.5199999999999</v>
      </c>
      <c r="DS51" s="26">
        <v>28.74</v>
      </c>
      <c r="DT51" s="26">
        <v>10.229999999999899</v>
      </c>
      <c r="DU51" s="26">
        <v>10.899999999999901</v>
      </c>
      <c r="DV51" s="26">
        <v>363.1</v>
      </c>
      <c r="DW51" s="26">
        <v>-19.989999999999998</v>
      </c>
      <c r="DX51" s="26">
        <v>-26.639999999999901</v>
      </c>
      <c r="DY51" s="26">
        <v>126.5</v>
      </c>
      <c r="DZ51" s="26">
        <v>-24.1999999999999</v>
      </c>
      <c r="EA51" s="26">
        <v>-82.2</v>
      </c>
      <c r="EB51" s="26">
        <v>1558.42</v>
      </c>
      <c r="EC51" s="26">
        <v>639.91</v>
      </c>
      <c r="ED51" s="26">
        <v>103.849999999999</v>
      </c>
      <c r="EE51" s="26">
        <v>466.3</v>
      </c>
      <c r="EF51" s="26">
        <v>88.179999999999893</v>
      </c>
      <c r="EG51" s="26">
        <v>-85.55</v>
      </c>
      <c r="EH51" s="26">
        <v>-24.06</v>
      </c>
      <c r="EI51" s="26">
        <v>-5.05</v>
      </c>
      <c r="EJ51" s="26">
        <v>-12.489999999999901</v>
      </c>
      <c r="EK51" s="26">
        <v>-604.27999999999895</v>
      </c>
      <c r="EL51" s="26">
        <v>634.50587550065802</v>
      </c>
      <c r="EM51" s="26">
        <v>381.18059884427697</v>
      </c>
      <c r="EN51" s="26">
        <v>0.35521137755889598</v>
      </c>
      <c r="EO51" s="26">
        <v>0.33978379561601701</v>
      </c>
      <c r="EP51" s="26">
        <v>0.22495004816319</v>
      </c>
      <c r="EQ51" s="26">
        <v>1E-3</v>
      </c>
      <c r="ER51" s="26">
        <v>104.99084377867899</v>
      </c>
      <c r="ES51" s="26">
        <v>254.10572630335301</v>
      </c>
      <c r="ET51" s="26">
        <v>1509.91257191981</v>
      </c>
      <c r="EU51" s="26">
        <v>168.83882645203801</v>
      </c>
      <c r="EV51" s="26">
        <v>170.017310863289</v>
      </c>
      <c r="EW51" s="26">
        <v>1279.2723636375799</v>
      </c>
      <c r="EX51" s="26">
        <v>15891</v>
      </c>
      <c r="EY51" s="26">
        <v>13.6724385400006</v>
      </c>
      <c r="EZ51" s="26">
        <v>9.8650617599487305</v>
      </c>
      <c r="FA51" s="26">
        <v>9.3678016662597603</v>
      </c>
      <c r="FB51" s="26">
        <v>4</v>
      </c>
      <c r="FC51" s="26">
        <v>0</v>
      </c>
      <c r="FD51" s="26">
        <v>0</v>
      </c>
      <c r="FE51" s="26">
        <v>16</v>
      </c>
      <c r="FF51" s="26">
        <v>0</v>
      </c>
      <c r="FG51" s="26">
        <v>0</v>
      </c>
      <c r="FH51" s="26">
        <v>9</v>
      </c>
      <c r="FI51" s="26">
        <v>1</v>
      </c>
      <c r="FJ51" s="26">
        <v>1</v>
      </c>
      <c r="FK51" s="26">
        <v>88</v>
      </c>
      <c r="FL51" s="26">
        <v>377</v>
      </c>
      <c r="FM51" s="26">
        <v>399</v>
      </c>
      <c r="FN51" s="26">
        <v>113.05</v>
      </c>
      <c r="FO51" s="26">
        <v>738.39999999999895</v>
      </c>
      <c r="FP51" s="26">
        <v>664.9</v>
      </c>
      <c r="FQ51" s="26">
        <v>1090.9000000000001</v>
      </c>
      <c r="FR51" s="26">
        <v>1543.97</v>
      </c>
      <c r="FS51" s="26">
        <v>14.935665450182899</v>
      </c>
      <c r="FT51" s="26">
        <v>94.629999999999896</v>
      </c>
      <c r="FU51" s="26">
        <v>11031</v>
      </c>
      <c r="FV51" s="26">
        <v>1980.0699999999899</v>
      </c>
      <c r="FW51" s="26">
        <v>10395</v>
      </c>
      <c r="FX51" s="40">
        <v>1.32993520495043E-13</v>
      </c>
      <c r="FY51" s="26">
        <v>248.18899051151701</v>
      </c>
      <c r="FZ51" s="26">
        <v>1301.7444064721001</v>
      </c>
      <c r="GA51" s="26">
        <v>2184.2650210573102</v>
      </c>
      <c r="GB51" s="26">
        <v>476.58258256948602</v>
      </c>
      <c r="GC51" s="26">
        <v>1072.6217044708901</v>
      </c>
      <c r="GD51" s="26">
        <v>1892.1401644612999</v>
      </c>
      <c r="GE51" s="26">
        <v>121.8</v>
      </c>
      <c r="GF51" s="26">
        <v>135.63</v>
      </c>
      <c r="GG51" s="26">
        <v>139.74</v>
      </c>
      <c r="GH51" s="26">
        <v>256.214</v>
      </c>
      <c r="GI51" s="26">
        <v>3217.0230000000001</v>
      </c>
      <c r="GJ51" s="26">
        <v>3129.3440000000001</v>
      </c>
      <c r="GK51" s="26">
        <v>3627.616</v>
      </c>
      <c r="GL51" s="26">
        <v>242.58099999999899</v>
      </c>
      <c r="GM51" s="26">
        <v>149.25800000000001</v>
      </c>
      <c r="GN51" s="26">
        <v>530.44899999999996</v>
      </c>
      <c r="GO51" s="26">
        <v>-88.72</v>
      </c>
      <c r="GP51" s="26">
        <v>3249.4573883333401</v>
      </c>
      <c r="GQ51" s="26">
        <v>25147.623281938198</v>
      </c>
      <c r="GR51" s="26">
        <v>4.5194717741935104</v>
      </c>
      <c r="GS51" s="26">
        <v>-8.4042277208255897E-2</v>
      </c>
      <c r="GT51" s="26">
        <v>20.354906737308401</v>
      </c>
      <c r="GU51" s="26">
        <v>9.7692663115069003</v>
      </c>
      <c r="GV51" s="26">
        <v>9.64837470296969</v>
      </c>
    </row>
    <row r="52" spans="38:204" x14ac:dyDescent="0.25">
      <c r="AL52" s="26" t="s">
        <v>220</v>
      </c>
      <c r="AM52" s="26">
        <v>15</v>
      </c>
      <c r="AN52" s="26">
        <v>-8.4104631217838302E-2</v>
      </c>
      <c r="AO52" s="26">
        <v>3356.5999999999899</v>
      </c>
      <c r="AP52" s="26">
        <v>3396.3899999999899</v>
      </c>
      <c r="AQ52" s="26">
        <v>584.47000000000105</v>
      </c>
      <c r="AR52" s="26">
        <v>279.83434896814703</v>
      </c>
      <c r="AS52" s="26">
        <v>-49.805199999999999</v>
      </c>
      <c r="AT52" s="26">
        <v>88.515799999999899</v>
      </c>
      <c r="AU52" s="26">
        <v>2.34095247250031E-2</v>
      </c>
      <c r="AV52" s="26">
        <v>-614.72180952380904</v>
      </c>
      <c r="AW52" s="26">
        <v>593.74281432101304</v>
      </c>
      <c r="AX52" s="26">
        <v>-2.00000000002253</v>
      </c>
      <c r="AY52" s="26">
        <v>9.9080442056007295E-4</v>
      </c>
      <c r="AZ52" s="26">
        <v>2.21682592207539E-2</v>
      </c>
      <c r="BA52" s="26">
        <v>4.0047716219043003E-2</v>
      </c>
      <c r="BB52" s="26">
        <v>0.438864765251467</v>
      </c>
      <c r="BC52" s="26">
        <v>1516.46412841697</v>
      </c>
      <c r="BD52" s="26">
        <v>2272.45050862686</v>
      </c>
      <c r="BE52" s="26">
        <v>944.75396525916904</v>
      </c>
      <c r="BF52" s="26">
        <v>187.52025379399799</v>
      </c>
      <c r="BG52" s="26">
        <v>0.56113523474853799</v>
      </c>
      <c r="BH52" s="26">
        <v>106.893498736924</v>
      </c>
      <c r="BI52" s="26">
        <v>9368.6534776046592</v>
      </c>
      <c r="BJ52" s="26">
        <v>7724.5692526903003</v>
      </c>
      <c r="BK52" s="26">
        <v>6932.2704187096397</v>
      </c>
      <c r="BL52" s="26">
        <v>8.2160342449961205E-2</v>
      </c>
      <c r="BM52" s="26">
        <v>0.416226250291657</v>
      </c>
      <c r="BN52" s="26">
        <v>8613.6446898567592</v>
      </c>
      <c r="BO52" s="26">
        <v>6737.4198732746199</v>
      </c>
      <c r="BP52" s="26">
        <v>5694.8804695806102</v>
      </c>
      <c r="BQ52" s="26">
        <v>7.4929347337000296E-2</v>
      </c>
      <c r="BR52" s="26">
        <v>0.58377374970834595</v>
      </c>
      <c r="BS52" s="26">
        <v>26902.382999999802</v>
      </c>
      <c r="BT52" s="26">
        <v>-6.8843815305977198</v>
      </c>
      <c r="BU52" s="26">
        <v>-233.202274192479</v>
      </c>
      <c r="BV52" s="26">
        <v>24.756056710678902</v>
      </c>
      <c r="BW52" s="26">
        <v>614.16999999999905</v>
      </c>
      <c r="BX52" s="26">
        <v>627.529</v>
      </c>
      <c r="BY52" s="26">
        <v>630.25000000000205</v>
      </c>
      <c r="BZ52" s="26">
        <v>573.09</v>
      </c>
      <c r="CA52" s="26">
        <v>-0.99793156111572501</v>
      </c>
      <c r="CB52" s="26">
        <v>-614.72180952380995</v>
      </c>
      <c r="CC52" s="26">
        <v>253.39999999999901</v>
      </c>
      <c r="CD52" s="26">
        <v>73037.600000000006</v>
      </c>
      <c r="CE52" s="26">
        <v>0.50807139809159896</v>
      </c>
      <c r="CF52" s="26">
        <v>1.4360281716996799</v>
      </c>
      <c r="CG52" s="26">
        <v>1.1515718532034001</v>
      </c>
      <c r="CH52" s="26">
        <v>163.60861098447401</v>
      </c>
      <c r="CI52" s="26">
        <v>129.17370707456001</v>
      </c>
      <c r="CJ52" s="26">
        <v>184.864142553367</v>
      </c>
      <c r="CK52" s="26">
        <v>561.58000000000197</v>
      </c>
      <c r="CL52" s="26">
        <v>560.75299999999902</v>
      </c>
      <c r="CM52" s="26">
        <v>555.48999999999796</v>
      </c>
      <c r="CN52" s="26">
        <v>554.07999999999902</v>
      </c>
      <c r="CO52" s="26">
        <v>567.96100000000104</v>
      </c>
      <c r="CP52" s="26">
        <v>556.28</v>
      </c>
      <c r="CQ52" s="26">
        <v>8932.0699999999797</v>
      </c>
      <c r="CR52" s="26">
        <v>563.423</v>
      </c>
      <c r="CS52" s="26">
        <v>1</v>
      </c>
      <c r="CT52" s="26">
        <v>95.919970512800901</v>
      </c>
      <c r="CU52" s="26">
        <v>0.155076155343434</v>
      </c>
      <c r="CV52" s="26">
        <v>0.98589308105558104</v>
      </c>
      <c r="CW52" s="26">
        <v>6.2977922882797494E-2</v>
      </c>
      <c r="CX52" s="26">
        <v>593.74281432101304</v>
      </c>
      <c r="CY52" s="26">
        <v>16.478000000000002</v>
      </c>
      <c r="CZ52" s="26">
        <v>12123.27</v>
      </c>
      <c r="DA52" s="26">
        <v>82.697999999999794</v>
      </c>
      <c r="DB52" s="40">
        <v>7.6176946207030005E-11</v>
      </c>
      <c r="DC52" s="40">
        <v>-3.58995155491732E-5</v>
      </c>
      <c r="DD52" s="26">
        <v>26.655000000000001</v>
      </c>
      <c r="DE52" s="26">
        <v>-2</v>
      </c>
      <c r="DF52" s="26">
        <v>697.79999999999802</v>
      </c>
      <c r="DG52" s="26">
        <v>1280.3999999999901</v>
      </c>
      <c r="DH52" s="26">
        <v>840.20000000000198</v>
      </c>
      <c r="DI52" s="26">
        <v>0.19999999999996099</v>
      </c>
      <c r="DJ52" s="26">
        <v>45.408005762150701</v>
      </c>
      <c r="DK52" s="26">
        <v>8.0912388913670502E-2</v>
      </c>
      <c r="DL52" s="26">
        <v>0.99672121738352004</v>
      </c>
      <c r="DM52" s="40">
        <v>1.17386565743865E-5</v>
      </c>
      <c r="DN52" s="26">
        <v>137.19999999999899</v>
      </c>
      <c r="DO52" s="26">
        <v>287.40300000000002</v>
      </c>
      <c r="DP52" s="26">
        <v>-9.61</v>
      </c>
      <c r="DQ52" s="26">
        <v>158.88999999999999</v>
      </c>
      <c r="DR52" s="26">
        <v>-50.170000000000101</v>
      </c>
      <c r="DS52" s="26">
        <v>184.79999999999899</v>
      </c>
      <c r="DT52" s="26">
        <v>15.7799999999999</v>
      </c>
      <c r="DU52" s="26">
        <v>163.49999999999901</v>
      </c>
      <c r="DV52" s="26">
        <v>1063.5999999999899</v>
      </c>
      <c r="DW52" s="26">
        <v>25.57</v>
      </c>
      <c r="DX52" s="26">
        <v>-86.000000000000497</v>
      </c>
      <c r="DY52" s="26">
        <v>921.199999999998</v>
      </c>
      <c r="DZ52" s="26">
        <v>-122.6</v>
      </c>
      <c r="EA52" s="26">
        <v>-272.19999999999902</v>
      </c>
      <c r="EB52" s="26">
        <v>7442.2299999999896</v>
      </c>
      <c r="EC52" s="26">
        <v>3146.49999999999</v>
      </c>
      <c r="ED52" s="26">
        <v>480.45</v>
      </c>
      <c r="EE52" s="26">
        <v>2484.1999999999898</v>
      </c>
      <c r="EF52" s="26">
        <v>418.32</v>
      </c>
      <c r="EG52" s="26">
        <v>-370.15</v>
      </c>
      <c r="EH52" s="26">
        <v>-66.750000000000099</v>
      </c>
      <c r="EI52" s="26">
        <v>40.06</v>
      </c>
      <c r="EJ52" s="26">
        <v>65.969999999999899</v>
      </c>
      <c r="EK52" s="26">
        <v>-2667.0799999999899</v>
      </c>
      <c r="EL52" s="26">
        <v>1516.46412841697</v>
      </c>
      <c r="EM52" s="26">
        <v>1147.4662352816099</v>
      </c>
      <c r="EN52" s="26">
        <v>5.6865366543311202</v>
      </c>
      <c r="EO52" s="26">
        <v>4.4878359922607398</v>
      </c>
      <c r="EP52" s="26">
        <v>5.6492209962484496</v>
      </c>
      <c r="EQ52" s="26">
        <v>1E-3</v>
      </c>
      <c r="ER52" s="26">
        <v>381.58482949704398</v>
      </c>
      <c r="ES52" s="26">
        <v>1036.19230472603</v>
      </c>
      <c r="ET52" s="26">
        <v>1564.57882415321</v>
      </c>
      <c r="EU52" s="26">
        <v>687.847146707207</v>
      </c>
      <c r="EV52" s="26">
        <v>748.45966122044297</v>
      </c>
      <c r="EW52" s="26">
        <v>1233.6875302122</v>
      </c>
      <c r="EX52" s="26">
        <v>76745</v>
      </c>
      <c r="EY52" s="26">
        <v>66.292264229996604</v>
      </c>
      <c r="EZ52" s="26">
        <v>9.959228515625</v>
      </c>
      <c r="FA52" s="26">
        <v>14.1525325775146</v>
      </c>
      <c r="FB52" s="26">
        <v>28</v>
      </c>
      <c r="FC52" s="26">
        <v>3</v>
      </c>
      <c r="FD52" s="26">
        <v>1</v>
      </c>
      <c r="FE52" s="26">
        <v>51</v>
      </c>
      <c r="FF52" s="26">
        <v>9</v>
      </c>
      <c r="FG52" s="26">
        <v>2</v>
      </c>
      <c r="FH52" s="26">
        <v>41</v>
      </c>
      <c r="FI52" s="26">
        <v>6</v>
      </c>
      <c r="FJ52" s="26">
        <v>4</v>
      </c>
      <c r="FK52" s="26">
        <v>534</v>
      </c>
      <c r="FL52" s="26">
        <v>1892</v>
      </c>
      <c r="FM52" s="26">
        <v>1894</v>
      </c>
      <c r="FN52" s="26">
        <v>546.82999999999902</v>
      </c>
      <c r="FO52" s="26">
        <v>3341.6</v>
      </c>
      <c r="FP52" s="26">
        <v>3204.6999999999898</v>
      </c>
      <c r="FQ52" s="26">
        <v>5072.1000000000004</v>
      </c>
      <c r="FR52" s="26">
        <v>10393.859999999901</v>
      </c>
      <c r="FS52" s="26">
        <v>26.5331199101172</v>
      </c>
      <c r="FT52" s="26">
        <v>373.82999999999902</v>
      </c>
      <c r="FU52" s="26">
        <v>50281</v>
      </c>
      <c r="FV52" s="26">
        <v>10065.57</v>
      </c>
      <c r="FW52" s="26">
        <v>42837</v>
      </c>
      <c r="FX52" s="40">
        <v>3.6126705978762101E-13</v>
      </c>
      <c r="FY52" s="26">
        <v>2327.4959602357699</v>
      </c>
      <c r="FZ52" s="26">
        <v>9460.3512024994798</v>
      </c>
      <c r="GA52" s="26">
        <v>8728.2580724726595</v>
      </c>
      <c r="GB52" s="26">
        <v>4581.0411075652701</v>
      </c>
      <c r="GC52" s="26">
        <v>6587.8590608025697</v>
      </c>
      <c r="GD52" s="26">
        <v>7579.4298446880703</v>
      </c>
      <c r="GE52" s="26">
        <v>565.75</v>
      </c>
      <c r="GF52" s="26">
        <v>596.37900000000002</v>
      </c>
      <c r="GG52" s="26">
        <v>629.77199999999903</v>
      </c>
      <c r="GH52" s="26">
        <v>1077.3789999999999</v>
      </c>
      <c r="GI52" s="26">
        <v>11806.5079999999</v>
      </c>
      <c r="GJ52" s="26">
        <v>11385.710999999899</v>
      </c>
      <c r="GK52" s="26">
        <v>15095.8749999999</v>
      </c>
      <c r="GL52" s="26">
        <v>801.06500000000199</v>
      </c>
      <c r="GM52" s="26">
        <v>2210.3090000000002</v>
      </c>
      <c r="GN52" s="26">
        <v>2015.77799999999</v>
      </c>
      <c r="GO52" s="26">
        <v>-449.10999999999802</v>
      </c>
      <c r="GP52" s="26">
        <v>12643.788979999899</v>
      </c>
      <c r="GQ52" s="26">
        <v>125599.198881255</v>
      </c>
      <c r="GR52" s="26">
        <v>10.2573404802762</v>
      </c>
      <c r="GS52" s="26">
        <v>-1.59866689684936</v>
      </c>
      <c r="GT52" s="26">
        <v>-6.9462992065614202</v>
      </c>
      <c r="GU52" s="26">
        <v>5.7408536001307704</v>
      </c>
      <c r="GV52" s="26">
        <v>5.7132970989086296</v>
      </c>
    </row>
    <row r="53" spans="38:204" x14ac:dyDescent="0.25">
      <c r="AL53" s="26" t="s">
        <v>221</v>
      </c>
      <c r="AM53" s="26">
        <v>8</v>
      </c>
      <c r="AN53" s="26">
        <v>4.8079812206572703E-2</v>
      </c>
      <c r="AO53" s="26">
        <v>1214</v>
      </c>
      <c r="AP53" s="26">
        <v>1217.6599999999901</v>
      </c>
      <c r="AQ53" s="26">
        <v>213.17999999999901</v>
      </c>
      <c r="AR53" s="26">
        <v>97.816701420853903</v>
      </c>
      <c r="AS53" s="26">
        <v>8.8954000000000004</v>
      </c>
      <c r="AT53" s="26">
        <v>40.5154</v>
      </c>
      <c r="AU53" s="26">
        <v>2.4783873097617901E-2</v>
      </c>
      <c r="AV53" s="26">
        <v>-441.27800000000002</v>
      </c>
      <c r="AW53" s="26">
        <v>708.21281113546104</v>
      </c>
      <c r="AX53" s="26">
        <v>-1.9999999999990901</v>
      </c>
      <c r="AY53" s="26">
        <v>4.6200687575133001E-3</v>
      </c>
      <c r="AZ53" s="26">
        <v>1.98257988806942E-2</v>
      </c>
      <c r="BA53" s="26">
        <v>3.4593520625877297E-2</v>
      </c>
      <c r="BB53" s="26">
        <v>0.45091635383631901</v>
      </c>
      <c r="BC53" s="26">
        <v>399.64403997503501</v>
      </c>
      <c r="BD53" s="26">
        <v>804.68489620750802</v>
      </c>
      <c r="BE53" s="26">
        <v>581.13017696818099</v>
      </c>
      <c r="BF53" s="26">
        <v>275.00534229801599</v>
      </c>
      <c r="BG53" s="26">
        <v>0.54908364616368299</v>
      </c>
      <c r="BH53" s="26">
        <v>37.453698568863302</v>
      </c>
      <c r="BI53" s="26">
        <v>2216.12865024763</v>
      </c>
      <c r="BJ53" s="26">
        <v>1253.2380842124901</v>
      </c>
      <c r="BK53" s="26">
        <v>1163.0210001655601</v>
      </c>
      <c r="BL53" s="26">
        <v>3.9408969534903901E-2</v>
      </c>
      <c r="BM53" s="26">
        <v>0.45379881681568901</v>
      </c>
      <c r="BN53" s="26">
        <v>2058.5270115254998</v>
      </c>
      <c r="BO53" s="26">
        <v>1471.3120425212301</v>
      </c>
      <c r="BP53" s="26">
        <v>1291.07737350857</v>
      </c>
      <c r="BQ53" s="26">
        <v>5.4976494358040202E-2</v>
      </c>
      <c r="BR53" s="26">
        <v>0.54609743566304603</v>
      </c>
      <c r="BS53" s="26">
        <v>9079.7349999999806</v>
      </c>
      <c r="BT53" s="26">
        <v>-6.7430092420619498</v>
      </c>
      <c r="BU53" s="26">
        <v>-59.391186323397299</v>
      </c>
      <c r="BV53" s="26">
        <v>33.074832902061303</v>
      </c>
      <c r="BW53" s="26">
        <v>203.069999999999</v>
      </c>
      <c r="BX53" s="26">
        <v>205.62599999999901</v>
      </c>
      <c r="BY53" s="26">
        <v>209.71</v>
      </c>
      <c r="BZ53" s="26">
        <v>214.88</v>
      </c>
      <c r="CA53" s="26">
        <v>-0.61754221623664396</v>
      </c>
      <c r="CB53" s="26">
        <v>-441.277999999999</v>
      </c>
      <c r="CC53" s="26">
        <v>94.31</v>
      </c>
      <c r="CD53" s="26">
        <v>25697.200000000001</v>
      </c>
      <c r="CE53" s="26">
        <v>0.58212274115236795</v>
      </c>
      <c r="CF53" s="26">
        <v>1.1964038866800499</v>
      </c>
      <c r="CG53" s="26">
        <v>1.07150832385841</v>
      </c>
      <c r="CH53" s="26">
        <v>138.232856976959</v>
      </c>
      <c r="CI53" s="26">
        <v>118.35092115703</v>
      </c>
      <c r="CJ53" s="26">
        <v>93.150069765570706</v>
      </c>
      <c r="CK53" s="26">
        <v>219.48999999999899</v>
      </c>
      <c r="CL53" s="26">
        <v>216.05199999999999</v>
      </c>
      <c r="CM53" s="26">
        <v>209.73999999999899</v>
      </c>
      <c r="CN53" s="26">
        <v>220.43</v>
      </c>
      <c r="CO53" s="26">
        <v>217.01499999999999</v>
      </c>
      <c r="CP53" s="26">
        <v>216.04999999999899</v>
      </c>
      <c r="CQ53" s="26">
        <v>3121.33</v>
      </c>
      <c r="CR53" s="26">
        <v>216.15100000000001</v>
      </c>
      <c r="CS53" s="26">
        <v>1</v>
      </c>
      <c r="CT53" s="26">
        <v>95.919970512800901</v>
      </c>
      <c r="CU53" s="26">
        <v>1.7428452038455299E-3</v>
      </c>
      <c r="CV53" s="26">
        <v>1.1059777883161599E-3</v>
      </c>
      <c r="CW53" s="26">
        <v>0.99999786964959403</v>
      </c>
      <c r="CX53" s="26">
        <v>708.21281113546104</v>
      </c>
      <c r="CY53" s="26">
        <v>-6.2649999999999899</v>
      </c>
      <c r="CZ53" s="26">
        <v>4451.3</v>
      </c>
      <c r="DA53" s="26">
        <v>14.485999999999899</v>
      </c>
      <c r="DB53" s="40">
        <v>4.6294827183504103E-11</v>
      </c>
      <c r="DC53" s="40">
        <v>-3.5106152099232398E-5</v>
      </c>
      <c r="DD53" s="26">
        <v>41.948999999999998</v>
      </c>
      <c r="DE53" s="26">
        <v>-2</v>
      </c>
      <c r="DF53" s="26">
        <v>425.2</v>
      </c>
      <c r="DG53" s="26">
        <v>450.5</v>
      </c>
      <c r="DH53" s="26">
        <v>361.79999999999899</v>
      </c>
      <c r="DI53" s="26">
        <v>324.49999999999898</v>
      </c>
      <c r="DJ53" s="26">
        <v>27.595695078051399</v>
      </c>
      <c r="DK53" s="26">
        <v>0.356151451559233</v>
      </c>
      <c r="DL53" s="26">
        <v>0.48305698618149501</v>
      </c>
      <c r="DM53" s="26">
        <v>0.79988254866167696</v>
      </c>
      <c r="DN53" s="26">
        <v>90.249999999999901</v>
      </c>
      <c r="DO53" s="26">
        <v>116.095</v>
      </c>
      <c r="DP53" s="26">
        <v>-3.2299999999999902</v>
      </c>
      <c r="DQ53" s="26">
        <v>64.489999999999995</v>
      </c>
      <c r="DR53" s="26">
        <v>27.48</v>
      </c>
      <c r="DS53" s="26">
        <v>97.58</v>
      </c>
      <c r="DT53" s="26">
        <v>-15.8599999999999</v>
      </c>
      <c r="DU53" s="26">
        <v>-47.299999999999898</v>
      </c>
      <c r="DV53" s="26">
        <v>319.5</v>
      </c>
      <c r="DW53" s="26">
        <v>45.67</v>
      </c>
      <c r="DX53" s="26">
        <v>22.84</v>
      </c>
      <c r="DY53" s="26">
        <v>443.3</v>
      </c>
      <c r="DZ53" s="26">
        <v>-3.9999999999999898</v>
      </c>
      <c r="EA53" s="26">
        <v>-5.4999999999999902</v>
      </c>
      <c r="EB53" s="26">
        <v>2760.45</v>
      </c>
      <c r="EC53" s="26">
        <v>1187.25</v>
      </c>
      <c r="ED53" s="26">
        <v>194.75</v>
      </c>
      <c r="EE53" s="26">
        <v>982.70000000000095</v>
      </c>
      <c r="EF53" s="26">
        <v>156.51999999999899</v>
      </c>
      <c r="EG53" s="26">
        <v>-47.7</v>
      </c>
      <c r="EH53" s="26">
        <v>-13.66</v>
      </c>
      <c r="EI53" s="26">
        <v>59.339999999999797</v>
      </c>
      <c r="EJ53" s="26">
        <v>-71.66</v>
      </c>
      <c r="EK53" s="26">
        <v>-682.16</v>
      </c>
      <c r="EL53" s="26">
        <v>399.64403997503501</v>
      </c>
      <c r="EM53" s="26">
        <v>191.34834058037799</v>
      </c>
      <c r="EN53" s="26">
        <v>0.66372735849062203</v>
      </c>
      <c r="EO53" s="26">
        <v>0.63238283433299902</v>
      </c>
      <c r="EP53" s="26">
        <v>0.66504222591534701</v>
      </c>
      <c r="EQ53" s="26">
        <v>1E-3</v>
      </c>
      <c r="ER53" s="26">
        <v>206.734795309437</v>
      </c>
      <c r="ES53" s="26">
        <v>595.36932251848896</v>
      </c>
      <c r="ET53" s="26">
        <v>486.76347162733998</v>
      </c>
      <c r="EU53" s="26">
        <v>351.783334786517</v>
      </c>
      <c r="EV53" s="26">
        <v>421.517926870579</v>
      </c>
      <c r="EW53" s="26">
        <v>410.55162001883701</v>
      </c>
      <c r="EX53" s="26">
        <v>26594</v>
      </c>
      <c r="EY53" s="26">
        <v>22.787019289998</v>
      </c>
      <c r="EZ53" s="26">
        <v>-0.47553580999374301</v>
      </c>
      <c r="FA53" s="26">
        <v>1.5282244682312001</v>
      </c>
      <c r="FB53" s="26">
        <v>10</v>
      </c>
      <c r="FC53" s="26">
        <v>2</v>
      </c>
      <c r="FD53" s="26">
        <v>0</v>
      </c>
      <c r="FE53" s="26">
        <v>16</v>
      </c>
      <c r="FF53" s="26">
        <v>2</v>
      </c>
      <c r="FG53" s="26">
        <v>0</v>
      </c>
      <c r="FH53" s="26">
        <v>21</v>
      </c>
      <c r="FI53" s="26">
        <v>2</v>
      </c>
      <c r="FJ53" s="26">
        <v>0</v>
      </c>
      <c r="FK53" s="26">
        <v>159</v>
      </c>
      <c r="FL53" s="26">
        <v>469</v>
      </c>
      <c r="FM53" s="26">
        <v>717</v>
      </c>
      <c r="FN53" s="26">
        <v>222.88999999999899</v>
      </c>
      <c r="FO53" s="26">
        <v>1183.7</v>
      </c>
      <c r="FP53" s="26">
        <v>1408</v>
      </c>
      <c r="FQ53" s="26">
        <v>1771.5</v>
      </c>
      <c r="FR53" s="26">
        <v>2002.36</v>
      </c>
      <c r="FS53" s="26">
        <v>16.790343131403599</v>
      </c>
      <c r="FT53" s="26">
        <v>143.91999999999899</v>
      </c>
      <c r="FU53" s="26">
        <v>18758</v>
      </c>
      <c r="FV53" s="26">
        <v>3276.38</v>
      </c>
      <c r="FW53" s="26">
        <v>16220</v>
      </c>
      <c r="FX53" s="40">
        <v>2.0433564036374E-13</v>
      </c>
      <c r="FY53" s="26">
        <v>804.68489620750802</v>
      </c>
      <c r="FZ53" s="26">
        <v>2265.5280330309702</v>
      </c>
      <c r="GA53" s="26">
        <v>2096.0325775578099</v>
      </c>
      <c r="GB53" s="26">
        <v>1382.3285697695901</v>
      </c>
      <c r="GC53" s="26">
        <v>1893.61473851249</v>
      </c>
      <c r="GD53" s="26">
        <v>1956.15146507698</v>
      </c>
      <c r="GE53" s="26">
        <v>216.6</v>
      </c>
      <c r="GF53" s="26">
        <v>180.01300000000001</v>
      </c>
      <c r="GG53" s="26">
        <v>225.03100000000001</v>
      </c>
      <c r="GH53" s="26">
        <v>314.10000000000002</v>
      </c>
      <c r="GI53" s="26">
        <v>4094.201</v>
      </c>
      <c r="GJ53" s="26">
        <v>3953.8690000000001</v>
      </c>
      <c r="GK53" s="26">
        <v>4985.5339999999896</v>
      </c>
      <c r="GL53" s="26">
        <v>433.42599999999999</v>
      </c>
      <c r="GM53" s="26">
        <v>357.82299999999998</v>
      </c>
      <c r="GN53" s="26">
        <v>499.17200000000003</v>
      </c>
      <c r="GO53" s="26">
        <v>-74.119999999999905</v>
      </c>
      <c r="GP53" s="26">
        <v>4298.5087616666697</v>
      </c>
      <c r="GQ53" s="26">
        <v>43113.798420980696</v>
      </c>
      <c r="GR53" s="26">
        <v>7.0179624413144701</v>
      </c>
      <c r="GS53" s="26">
        <v>4.0934584462562297E-2</v>
      </c>
      <c r="GT53" s="26">
        <v>-6.80607921309893</v>
      </c>
      <c r="GU53" s="26">
        <v>5.3193242155691998</v>
      </c>
      <c r="GV53" s="26">
        <v>4.9097190600319403</v>
      </c>
    </row>
    <row r="54" spans="38:204" x14ac:dyDescent="0.25">
      <c r="AL54" s="26" t="s">
        <v>222</v>
      </c>
      <c r="AM54" s="26">
        <v>2</v>
      </c>
      <c r="AN54" s="26">
        <v>-0.107328571428571</v>
      </c>
      <c r="AO54" s="26">
        <v>411.19999999999902</v>
      </c>
      <c r="AP54" s="26">
        <v>419.479999999999</v>
      </c>
      <c r="AQ54" s="26">
        <v>70.601999999999904</v>
      </c>
      <c r="AR54" s="26">
        <v>10.8998023950929</v>
      </c>
      <c r="AS54" s="26">
        <v>-9.0017999999999994</v>
      </c>
      <c r="AT54" s="26">
        <v>11.016</v>
      </c>
      <c r="AU54" s="26">
        <v>2.2493055968305802E-2</v>
      </c>
      <c r="AV54" s="26">
        <v>-109.472666666666</v>
      </c>
      <c r="AW54" s="26">
        <v>328.15934017379402</v>
      </c>
      <c r="AX54" s="26">
        <v>-0.99999999999959499</v>
      </c>
      <c r="AY54" s="26">
        <v>0</v>
      </c>
      <c r="AZ54" s="26">
        <v>1.85397163961925E-2</v>
      </c>
      <c r="BA54" s="26">
        <v>4.7709582462948E-2</v>
      </c>
      <c r="BB54" s="26">
        <v>0.49832772942014603</v>
      </c>
      <c r="BC54" s="26">
        <v>265.60420353458801</v>
      </c>
      <c r="BD54" s="26">
        <v>208.18301909406699</v>
      </c>
      <c r="BE54" s="26">
        <v>165.37509126915299</v>
      </c>
      <c r="BF54" s="26">
        <v>45.845903073512702</v>
      </c>
      <c r="BG54" s="26">
        <v>0.50167227057985198</v>
      </c>
      <c r="BH54" s="26">
        <v>0.19319046424327699</v>
      </c>
      <c r="BI54" s="26">
        <v>1319.4826205979</v>
      </c>
      <c r="BJ54" s="26">
        <v>1047.38793137383</v>
      </c>
      <c r="BK54" s="26">
        <v>898.55453703195303</v>
      </c>
      <c r="BL54" s="26">
        <v>5.6608386450794197E-2</v>
      </c>
      <c r="BM54" s="26">
        <v>0.47280584119216601</v>
      </c>
      <c r="BN54" s="26">
        <v>1127.0229275894999</v>
      </c>
      <c r="BO54" s="26">
        <v>798.86496699155498</v>
      </c>
      <c r="BP54" s="26">
        <v>761.66004386649695</v>
      </c>
      <c r="BQ54" s="26">
        <v>7.0614600044709305E-2</v>
      </c>
      <c r="BR54" s="26">
        <v>0.52387777156680304</v>
      </c>
      <c r="BS54" s="26">
        <v>4155.7269999999999</v>
      </c>
      <c r="BT54" s="26">
        <v>-3.3449865829000802</v>
      </c>
      <c r="BU54" s="26">
        <v>-53.7907600126143</v>
      </c>
      <c r="BV54" s="26">
        <v>17.671286660359499</v>
      </c>
      <c r="BW54" s="26">
        <v>72.809999999999903</v>
      </c>
      <c r="BX54" s="26">
        <v>72.205999999999904</v>
      </c>
      <c r="BY54" s="26">
        <v>73.449999999999903</v>
      </c>
      <c r="BZ54" s="26">
        <v>70.69</v>
      </c>
      <c r="CA54" s="26">
        <v>-0.21500019200743101</v>
      </c>
      <c r="CB54" s="26">
        <v>-109.472666666666</v>
      </c>
      <c r="CC54" s="26">
        <v>31.81</v>
      </c>
      <c r="CD54" s="26">
        <v>8646.2000000000007</v>
      </c>
      <c r="CE54" s="26">
        <v>0.54271403153104103</v>
      </c>
      <c r="CF54" s="26">
        <v>1.3696867351111</v>
      </c>
      <c r="CG54" s="26">
        <v>1.1522618594255301</v>
      </c>
      <c r="CH54" s="26">
        <v>191.798080571794</v>
      </c>
      <c r="CI54" s="26">
        <v>137.62089709730699</v>
      </c>
      <c r="CJ54" s="26">
        <v>139.72802627537899</v>
      </c>
      <c r="CK54" s="26">
        <v>70.479999999999905</v>
      </c>
      <c r="CL54" s="26">
        <v>70.903000000000006</v>
      </c>
      <c r="CM54" s="26">
        <v>69.7</v>
      </c>
      <c r="CN54" s="26">
        <v>65.88</v>
      </c>
      <c r="CO54" s="26">
        <v>66.691999999999993</v>
      </c>
      <c r="CP54" s="26">
        <v>67.809999999999903</v>
      </c>
      <c r="CQ54" s="26">
        <v>1091.83</v>
      </c>
      <c r="CR54" s="26">
        <v>68.870999999999995</v>
      </c>
      <c r="CS54" s="26">
        <v>1</v>
      </c>
      <c r="CT54" s="26">
        <v>95.919970512800901</v>
      </c>
      <c r="CU54" s="26">
        <v>2.3727786859649999E-3</v>
      </c>
      <c r="CV54" s="26">
        <v>0.74131535812058302</v>
      </c>
      <c r="CW54" s="26">
        <v>0.67115267244931498</v>
      </c>
      <c r="CX54" s="26">
        <v>328.15934017379402</v>
      </c>
      <c r="CY54" s="26">
        <v>3.5790000000000002</v>
      </c>
      <c r="CZ54" s="26">
        <v>1442.3099999999899</v>
      </c>
      <c r="DA54" s="26">
        <v>8.7749999999999897</v>
      </c>
      <c r="DB54" s="40">
        <v>3.1724350655409099E-11</v>
      </c>
      <c r="DC54" s="40">
        <v>-1.7404401609109299E-5</v>
      </c>
      <c r="DD54" s="26">
        <v>0</v>
      </c>
      <c r="DE54" s="26">
        <v>-1</v>
      </c>
      <c r="DF54" s="26">
        <v>122.299999999999</v>
      </c>
      <c r="DG54" s="26">
        <v>162.99999999999901</v>
      </c>
      <c r="DH54" s="26">
        <v>177.39999999999901</v>
      </c>
      <c r="DI54" s="26">
        <v>78</v>
      </c>
      <c r="DJ54" s="26">
        <v>18.910439038160899</v>
      </c>
      <c r="DK54" s="26">
        <v>0.17661295164917201</v>
      </c>
      <c r="DL54" s="26">
        <v>0.75682907639691499</v>
      </c>
      <c r="DM54" s="26">
        <v>0.62929930432979098</v>
      </c>
      <c r="DN54" s="26">
        <v>16.0399999999999</v>
      </c>
      <c r="DO54" s="26">
        <v>34.238</v>
      </c>
      <c r="DP54" s="26">
        <v>-3.59</v>
      </c>
      <c r="DQ54" s="26">
        <v>18.959999999999901</v>
      </c>
      <c r="DR54" s="26">
        <v>-4.25</v>
      </c>
      <c r="DS54" s="26">
        <v>20.6</v>
      </c>
      <c r="DT54" s="26">
        <v>7.13</v>
      </c>
      <c r="DU54" s="26">
        <v>18.399999999999899</v>
      </c>
      <c r="DV54" s="26">
        <v>126.7</v>
      </c>
      <c r="DW54" s="26">
        <v>3.28</v>
      </c>
      <c r="DX54" s="26">
        <v>-9.4399999999999906</v>
      </c>
      <c r="DY54" s="26">
        <v>80.799999999999898</v>
      </c>
      <c r="DZ54" s="26">
        <v>-16.899999999999899</v>
      </c>
      <c r="EA54" s="26">
        <v>-35</v>
      </c>
      <c r="EB54" s="26">
        <v>892.04</v>
      </c>
      <c r="EC54" s="26">
        <v>373.01</v>
      </c>
      <c r="ED54" s="26">
        <v>56.709999999999901</v>
      </c>
      <c r="EE54" s="26">
        <v>318.7</v>
      </c>
      <c r="EF54" s="26">
        <v>49.579999999999899</v>
      </c>
      <c r="EG54" s="26">
        <v>-45.38</v>
      </c>
      <c r="EH54" s="26">
        <v>-8.7799999999999994</v>
      </c>
      <c r="EI54" s="26">
        <v>5.97</v>
      </c>
      <c r="EJ54" s="26">
        <v>-17.34</v>
      </c>
      <c r="EK54" s="26">
        <v>-314.38</v>
      </c>
      <c r="EL54" s="26">
        <v>265.60420353458801</v>
      </c>
      <c r="EM54" s="26">
        <v>180.85194571372801</v>
      </c>
      <c r="EN54" s="26">
        <v>0.10543910808831</v>
      </c>
      <c r="EO54" s="26">
        <v>0.106905599932755</v>
      </c>
      <c r="EP54" s="26">
        <v>0.102933300410894</v>
      </c>
      <c r="EQ54" s="26">
        <v>1E-3</v>
      </c>
      <c r="ER54" s="26">
        <v>133.76647761607899</v>
      </c>
      <c r="ES54" s="26">
        <v>751.482745682678</v>
      </c>
      <c r="ET54" s="26">
        <v>854.10223629182894</v>
      </c>
      <c r="EU54" s="26">
        <v>239.33590475062101</v>
      </c>
      <c r="EV54" s="26">
        <v>492.54543137721902</v>
      </c>
      <c r="EW54" s="26">
        <v>691.55554970507501</v>
      </c>
      <c r="EX54" s="26">
        <v>9146</v>
      </c>
      <c r="EY54" s="26">
        <v>7.8951137199998103</v>
      </c>
      <c r="EZ54" s="26">
        <v>1.1002215147018399</v>
      </c>
      <c r="FA54" s="26">
        <v>1.3274828195571899</v>
      </c>
      <c r="FB54" s="26">
        <v>2</v>
      </c>
      <c r="FC54" s="26">
        <v>0</v>
      </c>
      <c r="FD54" s="26">
        <v>0</v>
      </c>
      <c r="FE54" s="26">
        <v>7</v>
      </c>
      <c r="FF54" s="26">
        <v>1</v>
      </c>
      <c r="FG54" s="26">
        <v>0</v>
      </c>
      <c r="FH54" s="26">
        <v>7</v>
      </c>
      <c r="FI54" s="26">
        <v>1</v>
      </c>
      <c r="FJ54" s="26">
        <v>1</v>
      </c>
      <c r="FK54" s="26">
        <v>53</v>
      </c>
      <c r="FL54" s="26">
        <v>368</v>
      </c>
      <c r="FM54" s="26">
        <v>234</v>
      </c>
      <c r="FN54" s="26">
        <v>70.94</v>
      </c>
      <c r="FO54" s="26">
        <v>414.599999999999</v>
      </c>
      <c r="FP54" s="26">
        <v>391.599999999999</v>
      </c>
      <c r="FQ54" s="26">
        <v>616.099999999999</v>
      </c>
      <c r="FR54" s="26">
        <v>1105.3900000000001</v>
      </c>
      <c r="FS54" s="26">
        <v>11.7911428595443</v>
      </c>
      <c r="FT54" s="26">
        <v>38.169999999999902</v>
      </c>
      <c r="FU54" s="26">
        <v>6096</v>
      </c>
      <c r="FV54" s="26">
        <v>1089.75999999999</v>
      </c>
      <c r="FW54" s="26">
        <v>5624</v>
      </c>
      <c r="FX54" s="40">
        <v>1.03312939578595E-13</v>
      </c>
      <c r="FY54" s="26">
        <v>208.18301909406699</v>
      </c>
      <c r="FZ54" s="26">
        <v>1319.4826205979</v>
      </c>
      <c r="GA54" s="26">
        <v>1127.0229275894999</v>
      </c>
      <c r="GB54" s="26">
        <v>383.59616114358801</v>
      </c>
      <c r="GC54" s="26">
        <v>963.34627968114899</v>
      </c>
      <c r="GD54" s="26">
        <v>978.09618392765901</v>
      </c>
      <c r="GE54" s="26">
        <v>70.66</v>
      </c>
      <c r="GF54" s="26">
        <v>77.045999999999907</v>
      </c>
      <c r="GG54" s="26">
        <v>93.474999999999994</v>
      </c>
      <c r="GH54" s="26">
        <v>198.268</v>
      </c>
      <c r="GI54" s="26">
        <v>2070.9139999999902</v>
      </c>
      <c r="GJ54" s="26">
        <v>2023.3820000000001</v>
      </c>
      <c r="GK54" s="26">
        <v>2084.8129999999901</v>
      </c>
      <c r="GL54" s="26">
        <v>117.891999999999</v>
      </c>
      <c r="GM54" s="26">
        <v>235.249</v>
      </c>
      <c r="GN54" s="26">
        <v>293.45499999999998</v>
      </c>
      <c r="GO54" s="26">
        <v>-48.76</v>
      </c>
      <c r="GP54" s="26">
        <v>1975.9895999999901</v>
      </c>
      <c r="GQ54" s="26">
        <v>15192.986721146501</v>
      </c>
      <c r="GR54" s="26">
        <v>6.1323457142856803</v>
      </c>
      <c r="GS54" s="26">
        <v>1.8419508041627</v>
      </c>
      <c r="GT54" s="26">
        <v>-3.37674462525831</v>
      </c>
      <c r="GU54" s="26">
        <v>5.7491365140673203</v>
      </c>
      <c r="GV54" s="26">
        <v>5.8711331425410602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BEF7-DE05-4FCE-B6BA-6052DBBC6F4F}">
  <dimension ref="A1:C21"/>
  <sheetViews>
    <sheetView zoomScale="70" zoomScaleNormal="70" workbookViewId="0">
      <selection activeCell="E5" sqref="E5"/>
    </sheetView>
  </sheetViews>
  <sheetFormatPr defaultRowHeight="15" x14ac:dyDescent="0.25"/>
  <cols>
    <col min="1" max="1" width="27.42578125" customWidth="1"/>
    <col min="2" max="2" width="57.85546875" style="3" customWidth="1"/>
    <col min="3" max="3" width="27.42578125" style="4" customWidth="1"/>
    <col min="4" max="11" width="27.42578125" customWidth="1"/>
  </cols>
  <sheetData>
    <row r="1" spans="1:3" ht="129.75" customHeight="1" x14ac:dyDescent="0.25">
      <c r="A1" s="44">
        <v>1</v>
      </c>
      <c r="B1" s="43" t="s">
        <v>401</v>
      </c>
      <c r="C1" s="45">
        <v>0.33</v>
      </c>
    </row>
    <row r="2" spans="1:3" ht="129.75" customHeight="1" x14ac:dyDescent="0.25">
      <c r="A2" s="44">
        <v>2</v>
      </c>
      <c r="C2" s="45"/>
    </row>
    <row r="3" spans="1:3" ht="129.75" customHeight="1" x14ac:dyDescent="0.25">
      <c r="A3" s="44">
        <v>3</v>
      </c>
      <c r="B3" s="46" t="s">
        <v>402</v>
      </c>
      <c r="C3" s="45">
        <v>0.35</v>
      </c>
    </row>
    <row r="4" spans="1:3" ht="129.75" customHeight="1" x14ac:dyDescent="0.25">
      <c r="A4" s="44">
        <v>4</v>
      </c>
      <c r="C4" s="45"/>
    </row>
    <row r="5" spans="1:3" ht="129.75" customHeight="1" x14ac:dyDescent="0.25">
      <c r="A5" s="44">
        <v>5</v>
      </c>
      <c r="C5" s="45"/>
    </row>
    <row r="6" spans="1:3" ht="129.75" customHeight="1" x14ac:dyDescent="0.25">
      <c r="A6" s="44">
        <v>6</v>
      </c>
      <c r="C6" s="45"/>
    </row>
    <row r="7" spans="1:3" ht="129.75" customHeight="1" x14ac:dyDescent="0.25">
      <c r="A7" s="44">
        <v>7</v>
      </c>
    </row>
    <row r="8" spans="1:3" ht="129.75" customHeight="1" x14ac:dyDescent="0.25">
      <c r="A8" s="44">
        <v>8</v>
      </c>
    </row>
    <row r="9" spans="1:3" ht="129.75" customHeight="1" x14ac:dyDescent="0.25">
      <c r="A9" s="44">
        <v>9</v>
      </c>
    </row>
    <row r="10" spans="1:3" ht="105.75" customHeight="1" x14ac:dyDescent="0.25"/>
    <row r="11" spans="1:3" ht="105.75" customHeight="1" x14ac:dyDescent="0.25"/>
    <row r="12" spans="1:3" ht="105.75" customHeight="1" x14ac:dyDescent="0.25"/>
    <row r="13" spans="1:3" ht="105.75" customHeight="1" x14ac:dyDescent="0.25"/>
    <row r="14" spans="1:3" ht="105.75" customHeight="1" x14ac:dyDescent="0.25"/>
    <row r="15" spans="1:3" ht="105.75" customHeight="1" x14ac:dyDescent="0.25"/>
    <row r="16" spans="1:3" ht="105.75" customHeight="1" x14ac:dyDescent="0.25"/>
    <row r="17" ht="105.75" customHeight="1" x14ac:dyDescent="0.25"/>
    <row r="18" ht="105.75" customHeight="1" x14ac:dyDescent="0.25"/>
    <row r="19" ht="105.75" customHeight="1" x14ac:dyDescent="0.25"/>
    <row r="20" ht="105.75" customHeight="1" x14ac:dyDescent="0.25"/>
    <row r="21" ht="10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9669-B956-42BD-8B9E-56D96F85EE76}">
  <dimension ref="A1:I167"/>
  <sheetViews>
    <sheetView topLeftCell="A26" workbookViewId="0">
      <selection activeCell="E39" sqref="E39:I50"/>
    </sheetView>
  </sheetViews>
  <sheetFormatPr defaultRowHeight="15" x14ac:dyDescent="0.25"/>
  <cols>
    <col min="1" max="1" width="36.85546875" bestFit="1" customWidth="1"/>
    <col min="5" max="5" width="27.7109375" customWidth="1"/>
    <col min="6" max="6" width="9.7109375" customWidth="1"/>
    <col min="7" max="7" width="10.85546875" customWidth="1"/>
    <col min="8" max="8" width="22.42578125" customWidth="1"/>
    <col min="9" max="9" width="39.5703125" customWidth="1"/>
  </cols>
  <sheetData>
    <row r="1" spans="1:1" x14ac:dyDescent="0.25">
      <c r="A1" s="26" t="s">
        <v>29</v>
      </c>
    </row>
    <row r="2" spans="1:1" x14ac:dyDescent="0.25">
      <c r="A2" s="26" t="s">
        <v>30</v>
      </c>
    </row>
    <row r="3" spans="1:1" x14ac:dyDescent="0.25">
      <c r="A3" s="26" t="s">
        <v>31</v>
      </c>
    </row>
    <row r="4" spans="1:1" x14ac:dyDescent="0.25">
      <c r="A4" s="26" t="s">
        <v>32</v>
      </c>
    </row>
    <row r="5" spans="1:1" x14ac:dyDescent="0.25">
      <c r="A5" s="26" t="s">
        <v>33</v>
      </c>
    </row>
    <row r="6" spans="1:1" x14ac:dyDescent="0.25">
      <c r="A6" s="26" t="s">
        <v>34</v>
      </c>
    </row>
    <row r="7" spans="1:1" x14ac:dyDescent="0.25">
      <c r="A7" s="26" t="s">
        <v>35</v>
      </c>
    </row>
    <row r="8" spans="1:1" x14ac:dyDescent="0.25">
      <c r="A8" s="26" t="s">
        <v>36</v>
      </c>
    </row>
    <row r="9" spans="1:1" x14ac:dyDescent="0.25">
      <c r="A9" s="26" t="s">
        <v>37</v>
      </c>
    </row>
    <row r="10" spans="1:1" x14ac:dyDescent="0.25">
      <c r="A10" s="26" t="s">
        <v>38</v>
      </c>
    </row>
    <row r="11" spans="1:1" x14ac:dyDescent="0.25">
      <c r="A11" s="26" t="s">
        <v>39</v>
      </c>
    </row>
    <row r="12" spans="1:1" x14ac:dyDescent="0.25">
      <c r="A12" s="26" t="s">
        <v>40</v>
      </c>
    </row>
    <row r="13" spans="1:1" x14ac:dyDescent="0.25">
      <c r="A13" s="26" t="s">
        <v>41</v>
      </c>
    </row>
    <row r="14" spans="1:1" x14ac:dyDescent="0.25">
      <c r="A14" s="26" t="s">
        <v>42</v>
      </c>
    </row>
    <row r="15" spans="1:1" x14ac:dyDescent="0.25">
      <c r="A15" s="26" t="s">
        <v>43</v>
      </c>
    </row>
    <row r="16" spans="1:1" x14ac:dyDescent="0.25">
      <c r="A16" s="26" t="s">
        <v>44</v>
      </c>
    </row>
    <row r="17" spans="1:1" x14ac:dyDescent="0.25">
      <c r="A17" s="26" t="s">
        <v>45</v>
      </c>
    </row>
    <row r="18" spans="1:1" x14ac:dyDescent="0.25">
      <c r="A18" s="26" t="s">
        <v>46</v>
      </c>
    </row>
    <row r="19" spans="1:1" x14ac:dyDescent="0.25">
      <c r="A19" s="26" t="s">
        <v>47</v>
      </c>
    </row>
    <row r="20" spans="1:1" x14ac:dyDescent="0.25">
      <c r="A20" s="26" t="s">
        <v>48</v>
      </c>
    </row>
    <row r="21" spans="1:1" x14ac:dyDescent="0.25">
      <c r="A21" s="26" t="s">
        <v>49</v>
      </c>
    </row>
    <row r="22" spans="1:1" x14ac:dyDescent="0.25">
      <c r="A22" s="26" t="s">
        <v>50</v>
      </c>
    </row>
    <row r="23" spans="1:1" x14ac:dyDescent="0.25">
      <c r="A23" s="26" t="s">
        <v>51</v>
      </c>
    </row>
    <row r="24" spans="1:1" x14ac:dyDescent="0.25">
      <c r="A24" s="26" t="s">
        <v>52</v>
      </c>
    </row>
    <row r="25" spans="1:1" x14ac:dyDescent="0.25">
      <c r="A25" s="26" t="s">
        <v>53</v>
      </c>
    </row>
    <row r="26" spans="1:1" x14ac:dyDescent="0.25">
      <c r="A26" s="26" t="s">
        <v>54</v>
      </c>
    </row>
    <row r="27" spans="1:1" x14ac:dyDescent="0.25">
      <c r="A27" s="26" t="s">
        <v>55</v>
      </c>
    </row>
    <row r="28" spans="1:1" x14ac:dyDescent="0.25">
      <c r="A28" s="26" t="s">
        <v>56</v>
      </c>
    </row>
    <row r="29" spans="1:1" x14ac:dyDescent="0.25">
      <c r="A29" s="26" t="s">
        <v>57</v>
      </c>
    </row>
    <row r="30" spans="1:1" x14ac:dyDescent="0.25">
      <c r="A30" s="26" t="s">
        <v>58</v>
      </c>
    </row>
    <row r="31" spans="1:1" x14ac:dyDescent="0.25">
      <c r="A31" s="26" t="s">
        <v>59</v>
      </c>
    </row>
    <row r="32" spans="1:1" x14ac:dyDescent="0.25">
      <c r="A32" s="26" t="s">
        <v>60</v>
      </c>
    </row>
    <row r="33" spans="1:9" x14ac:dyDescent="0.25">
      <c r="A33" s="26" t="s">
        <v>61</v>
      </c>
    </row>
    <row r="34" spans="1:9" x14ac:dyDescent="0.25">
      <c r="A34" s="26" t="s">
        <v>62</v>
      </c>
    </row>
    <row r="35" spans="1:9" x14ac:dyDescent="0.25">
      <c r="A35" s="26" t="s">
        <v>63</v>
      </c>
    </row>
    <row r="36" spans="1:9" x14ac:dyDescent="0.25">
      <c r="A36" s="26" t="s">
        <v>64</v>
      </c>
    </row>
    <row r="37" spans="1:9" x14ac:dyDescent="0.25">
      <c r="A37" s="26" t="s">
        <v>65</v>
      </c>
    </row>
    <row r="38" spans="1:9" x14ac:dyDescent="0.25">
      <c r="A38" s="26" t="s">
        <v>66</v>
      </c>
      <c r="E38" s="1"/>
      <c r="F38" s="1"/>
      <c r="G38" s="1"/>
      <c r="H38" s="1"/>
      <c r="I38" s="1"/>
    </row>
    <row r="39" spans="1:9" x14ac:dyDescent="0.25">
      <c r="A39" s="26" t="s">
        <v>67</v>
      </c>
      <c r="E39" s="102" t="s">
        <v>403</v>
      </c>
      <c r="F39" s="103" t="s">
        <v>390</v>
      </c>
      <c r="G39" s="103" t="s">
        <v>417</v>
      </c>
      <c r="H39" s="103" t="s">
        <v>418</v>
      </c>
      <c r="I39" s="104" t="s">
        <v>424</v>
      </c>
    </row>
    <row r="40" spans="1:9" x14ac:dyDescent="0.25">
      <c r="A40" s="26" t="s">
        <v>68</v>
      </c>
      <c r="E40" s="105" t="s">
        <v>404</v>
      </c>
      <c r="F40" s="3">
        <v>0.24</v>
      </c>
      <c r="G40" s="3" t="s">
        <v>416</v>
      </c>
      <c r="H40" s="3" t="s">
        <v>419</v>
      </c>
      <c r="I40" s="106" t="s">
        <v>406</v>
      </c>
    </row>
    <row r="41" spans="1:9" x14ac:dyDescent="0.25">
      <c r="A41" s="26" t="s">
        <v>69</v>
      </c>
      <c r="E41" s="105" t="s">
        <v>407</v>
      </c>
      <c r="F41" s="3">
        <v>0.26</v>
      </c>
      <c r="G41" s="3" t="s">
        <v>416</v>
      </c>
      <c r="H41" s="3" t="s">
        <v>419</v>
      </c>
      <c r="I41" s="106" t="s">
        <v>406</v>
      </c>
    </row>
    <row r="42" spans="1:9" x14ac:dyDescent="0.25">
      <c r="A42" s="26" t="s">
        <v>70</v>
      </c>
      <c r="E42" s="105" t="s">
        <v>408</v>
      </c>
      <c r="F42" s="3">
        <v>0.44</v>
      </c>
      <c r="G42" s="3" t="s">
        <v>416</v>
      </c>
      <c r="H42" s="3" t="s">
        <v>419</v>
      </c>
      <c r="I42" s="106" t="s">
        <v>406</v>
      </c>
    </row>
    <row r="43" spans="1:9" x14ac:dyDescent="0.25">
      <c r="A43" s="26" t="s">
        <v>71</v>
      </c>
      <c r="E43" s="105" t="s">
        <v>409</v>
      </c>
      <c r="F43" s="3">
        <v>0.34</v>
      </c>
      <c r="G43" s="3" t="s">
        <v>416</v>
      </c>
      <c r="H43" s="3" t="s">
        <v>419</v>
      </c>
      <c r="I43" s="106" t="s">
        <v>406</v>
      </c>
    </row>
    <row r="44" spans="1:9" x14ac:dyDescent="0.25">
      <c r="A44" s="26" t="s">
        <v>72</v>
      </c>
      <c r="E44" s="105" t="s">
        <v>410</v>
      </c>
      <c r="F44" s="3">
        <v>0.27</v>
      </c>
      <c r="G44" s="3" t="s">
        <v>416</v>
      </c>
      <c r="H44" s="3" t="s">
        <v>419</v>
      </c>
      <c r="I44" s="106" t="s">
        <v>406</v>
      </c>
    </row>
    <row r="45" spans="1:9" x14ac:dyDescent="0.25">
      <c r="A45" s="26" t="s">
        <v>73</v>
      </c>
      <c r="E45" s="105" t="s">
        <v>411</v>
      </c>
      <c r="F45" s="3">
        <v>0.15</v>
      </c>
      <c r="G45" s="3" t="s">
        <v>416</v>
      </c>
      <c r="H45" s="3" t="s">
        <v>419</v>
      </c>
      <c r="I45" s="106" t="s">
        <v>406</v>
      </c>
    </row>
    <row r="46" spans="1:9" x14ac:dyDescent="0.25">
      <c r="A46" s="26" t="s">
        <v>74</v>
      </c>
      <c r="E46" s="105" t="s">
        <v>426</v>
      </c>
      <c r="F46" s="3">
        <v>0.53</v>
      </c>
      <c r="G46" s="3" t="s">
        <v>416</v>
      </c>
      <c r="H46" s="3" t="s">
        <v>419</v>
      </c>
      <c r="I46" s="106" t="s">
        <v>406</v>
      </c>
    </row>
    <row r="47" spans="1:9" x14ac:dyDescent="0.25">
      <c r="A47" s="26" t="s">
        <v>75</v>
      </c>
      <c r="E47" s="105" t="s">
        <v>412</v>
      </c>
      <c r="F47" s="3" t="s">
        <v>416</v>
      </c>
      <c r="G47" s="3" t="s">
        <v>416</v>
      </c>
      <c r="H47" s="3" t="s">
        <v>420</v>
      </c>
      <c r="I47" s="106" t="s">
        <v>413</v>
      </c>
    </row>
    <row r="48" spans="1:9" x14ac:dyDescent="0.25">
      <c r="A48" s="26" t="s">
        <v>76</v>
      </c>
      <c r="E48" s="105" t="s">
        <v>414</v>
      </c>
      <c r="F48" s="3">
        <v>0.8</v>
      </c>
      <c r="G48" s="3" t="s">
        <v>423</v>
      </c>
      <c r="H48" s="3" t="s">
        <v>422</v>
      </c>
      <c r="I48" s="106" t="s">
        <v>428</v>
      </c>
    </row>
    <row r="49" spans="1:9" x14ac:dyDescent="0.25">
      <c r="A49" s="26" t="s">
        <v>77</v>
      </c>
      <c r="E49" s="105" t="s">
        <v>415</v>
      </c>
      <c r="F49" s="3">
        <v>0.8</v>
      </c>
      <c r="G49" s="3" t="s">
        <v>421</v>
      </c>
      <c r="H49" s="3" t="s">
        <v>422</v>
      </c>
      <c r="I49" s="106" t="s">
        <v>429</v>
      </c>
    </row>
    <row r="50" spans="1:9" x14ac:dyDescent="0.25">
      <c r="A50" s="26" t="s">
        <v>78</v>
      </c>
      <c r="E50" s="107" t="s">
        <v>415</v>
      </c>
      <c r="F50" s="108">
        <v>-0.36</v>
      </c>
      <c r="G50" s="108" t="s">
        <v>416</v>
      </c>
      <c r="H50" s="108" t="s">
        <v>425</v>
      </c>
      <c r="I50" s="109" t="s">
        <v>427</v>
      </c>
    </row>
    <row r="51" spans="1:9" x14ac:dyDescent="0.25">
      <c r="A51" s="26" t="s">
        <v>79</v>
      </c>
      <c r="E51" s="7"/>
      <c r="F51" s="5"/>
      <c r="G51" s="5"/>
      <c r="H51" s="5"/>
      <c r="I51" s="6"/>
    </row>
    <row r="52" spans="1:9" x14ac:dyDescent="0.25">
      <c r="A52" s="26" t="s">
        <v>80</v>
      </c>
    </row>
    <row r="53" spans="1:9" x14ac:dyDescent="0.25">
      <c r="A53" s="26" t="s">
        <v>81</v>
      </c>
    </row>
    <row r="54" spans="1:9" x14ac:dyDescent="0.25">
      <c r="A54" s="26" t="s">
        <v>82</v>
      </c>
    </row>
    <row r="55" spans="1:9" x14ac:dyDescent="0.25">
      <c r="A55" s="26" t="s">
        <v>83</v>
      </c>
    </row>
    <row r="56" spans="1:9" x14ac:dyDescent="0.25">
      <c r="A56" s="26" t="s">
        <v>84</v>
      </c>
    </row>
    <row r="57" spans="1:9" x14ac:dyDescent="0.25">
      <c r="A57" s="26" t="s">
        <v>85</v>
      </c>
    </row>
    <row r="58" spans="1:9" x14ac:dyDescent="0.25">
      <c r="A58" s="26" t="s">
        <v>86</v>
      </c>
    </row>
    <row r="59" spans="1:9" x14ac:dyDescent="0.25">
      <c r="A59" s="26" t="s">
        <v>87</v>
      </c>
    </row>
    <row r="60" spans="1:9" x14ac:dyDescent="0.25">
      <c r="A60" s="26" t="s">
        <v>88</v>
      </c>
    </row>
    <row r="61" spans="1:9" x14ac:dyDescent="0.25">
      <c r="A61" s="26" t="s">
        <v>89</v>
      </c>
    </row>
    <row r="62" spans="1:9" x14ac:dyDescent="0.25">
      <c r="A62" s="26" t="s">
        <v>90</v>
      </c>
    </row>
    <row r="63" spans="1:9" x14ac:dyDescent="0.25">
      <c r="A63" s="26" t="s">
        <v>91</v>
      </c>
    </row>
    <row r="64" spans="1:9" x14ac:dyDescent="0.25">
      <c r="A64" s="26" t="s">
        <v>92</v>
      </c>
    </row>
    <row r="65" spans="1:1" x14ac:dyDescent="0.25">
      <c r="A65" s="26" t="s">
        <v>93</v>
      </c>
    </row>
    <row r="66" spans="1:1" x14ac:dyDescent="0.25">
      <c r="A66" s="26" t="s">
        <v>94</v>
      </c>
    </row>
    <row r="67" spans="1:1" x14ac:dyDescent="0.25">
      <c r="A67" s="26" t="s">
        <v>95</v>
      </c>
    </row>
    <row r="68" spans="1:1" x14ac:dyDescent="0.25">
      <c r="A68" s="26" t="s">
        <v>96</v>
      </c>
    </row>
    <row r="69" spans="1:1" x14ac:dyDescent="0.25">
      <c r="A69" s="26" t="s">
        <v>97</v>
      </c>
    </row>
    <row r="70" spans="1:1" x14ac:dyDescent="0.25">
      <c r="A70" s="26" t="s">
        <v>98</v>
      </c>
    </row>
    <row r="71" spans="1:1" x14ac:dyDescent="0.25">
      <c r="A71" s="26" t="s">
        <v>99</v>
      </c>
    </row>
    <row r="72" spans="1:1" x14ac:dyDescent="0.25">
      <c r="A72" s="26" t="s">
        <v>100</v>
      </c>
    </row>
    <row r="73" spans="1:1" x14ac:dyDescent="0.25">
      <c r="A73" s="26" t="s">
        <v>101</v>
      </c>
    </row>
    <row r="74" spans="1:1" x14ac:dyDescent="0.25">
      <c r="A74" s="26" t="s">
        <v>102</v>
      </c>
    </row>
    <row r="75" spans="1:1" x14ac:dyDescent="0.25">
      <c r="A75" s="26" t="s">
        <v>103</v>
      </c>
    </row>
    <row r="76" spans="1:1" x14ac:dyDescent="0.25">
      <c r="A76" s="26" t="s">
        <v>104</v>
      </c>
    </row>
    <row r="77" spans="1:1" x14ac:dyDescent="0.25">
      <c r="A77" s="26" t="s">
        <v>105</v>
      </c>
    </row>
    <row r="78" spans="1:1" x14ac:dyDescent="0.25">
      <c r="A78" s="26" t="s">
        <v>106</v>
      </c>
    </row>
    <row r="79" spans="1:1" x14ac:dyDescent="0.25">
      <c r="A79" s="26" t="s">
        <v>107</v>
      </c>
    </row>
    <row r="80" spans="1:1" x14ac:dyDescent="0.25">
      <c r="A80" s="26" t="s">
        <v>108</v>
      </c>
    </row>
    <row r="81" spans="1:1" x14ac:dyDescent="0.25">
      <c r="A81" s="26" t="s">
        <v>109</v>
      </c>
    </row>
    <row r="82" spans="1:1" x14ac:dyDescent="0.25">
      <c r="A82" s="26" t="s">
        <v>110</v>
      </c>
    </row>
    <row r="83" spans="1:1" x14ac:dyDescent="0.25">
      <c r="A83" s="26" t="s">
        <v>111</v>
      </c>
    </row>
    <row r="84" spans="1:1" x14ac:dyDescent="0.25">
      <c r="A84" s="26" t="s">
        <v>112</v>
      </c>
    </row>
    <row r="85" spans="1:1" x14ac:dyDescent="0.25">
      <c r="A85" s="26" t="s">
        <v>113</v>
      </c>
    </row>
    <row r="86" spans="1:1" x14ac:dyDescent="0.25">
      <c r="A86" s="26" t="s">
        <v>114</v>
      </c>
    </row>
    <row r="87" spans="1:1" x14ac:dyDescent="0.25">
      <c r="A87" s="26" t="s">
        <v>115</v>
      </c>
    </row>
    <row r="88" spans="1:1" x14ac:dyDescent="0.25">
      <c r="A88" s="26" t="s">
        <v>116</v>
      </c>
    </row>
    <row r="89" spans="1:1" x14ac:dyDescent="0.25">
      <c r="A89" s="26" t="s">
        <v>117</v>
      </c>
    </row>
    <row r="90" spans="1:1" x14ac:dyDescent="0.25">
      <c r="A90" s="26" t="s">
        <v>118</v>
      </c>
    </row>
    <row r="91" spans="1:1" x14ac:dyDescent="0.25">
      <c r="A91" s="26" t="s">
        <v>119</v>
      </c>
    </row>
    <row r="92" spans="1:1" x14ac:dyDescent="0.25">
      <c r="A92" s="26" t="s">
        <v>120</v>
      </c>
    </row>
    <row r="93" spans="1:1" x14ac:dyDescent="0.25">
      <c r="A93" s="26" t="s">
        <v>121</v>
      </c>
    </row>
    <row r="94" spans="1:1" x14ac:dyDescent="0.25">
      <c r="A94" s="26" t="s">
        <v>122</v>
      </c>
    </row>
    <row r="95" spans="1:1" x14ac:dyDescent="0.25">
      <c r="A95" s="26" t="s">
        <v>123</v>
      </c>
    </row>
    <row r="96" spans="1:1" x14ac:dyDescent="0.25">
      <c r="A96" s="26" t="s">
        <v>124</v>
      </c>
    </row>
    <row r="97" spans="1:1" x14ac:dyDescent="0.25">
      <c r="A97" s="26" t="s">
        <v>125</v>
      </c>
    </row>
    <row r="98" spans="1:1" x14ac:dyDescent="0.25">
      <c r="A98" s="26" t="s">
        <v>126</v>
      </c>
    </row>
    <row r="99" spans="1:1" x14ac:dyDescent="0.25">
      <c r="A99" s="26" t="s">
        <v>127</v>
      </c>
    </row>
    <row r="100" spans="1:1" x14ac:dyDescent="0.25">
      <c r="A100" s="26" t="s">
        <v>128</v>
      </c>
    </row>
    <row r="101" spans="1:1" x14ac:dyDescent="0.25">
      <c r="A101" s="26" t="s">
        <v>129</v>
      </c>
    </row>
    <row r="102" spans="1:1" x14ac:dyDescent="0.25">
      <c r="A102" s="26" t="s">
        <v>130</v>
      </c>
    </row>
    <row r="103" spans="1:1" x14ac:dyDescent="0.25">
      <c r="A103" s="26" t="s">
        <v>131</v>
      </c>
    </row>
    <row r="104" spans="1:1" x14ac:dyDescent="0.25">
      <c r="A104" s="26" t="s">
        <v>132</v>
      </c>
    </row>
    <row r="105" spans="1:1" x14ac:dyDescent="0.25">
      <c r="A105" s="26" t="s">
        <v>133</v>
      </c>
    </row>
    <row r="106" spans="1:1" x14ac:dyDescent="0.25">
      <c r="A106" s="26" t="s">
        <v>134</v>
      </c>
    </row>
    <row r="107" spans="1:1" x14ac:dyDescent="0.25">
      <c r="A107" s="26" t="s">
        <v>135</v>
      </c>
    </row>
    <row r="108" spans="1:1" x14ac:dyDescent="0.25">
      <c r="A108" s="26" t="s">
        <v>136</v>
      </c>
    </row>
    <row r="109" spans="1:1" x14ac:dyDescent="0.25">
      <c r="A109" s="26" t="s">
        <v>137</v>
      </c>
    </row>
    <row r="110" spans="1:1" x14ac:dyDescent="0.25">
      <c r="A110" s="26" t="s">
        <v>138</v>
      </c>
    </row>
    <row r="111" spans="1:1" x14ac:dyDescent="0.25">
      <c r="A111" s="26" t="s">
        <v>139</v>
      </c>
    </row>
    <row r="112" spans="1:1" x14ac:dyDescent="0.25">
      <c r="A112" s="26" t="s">
        <v>140</v>
      </c>
    </row>
    <row r="113" spans="1:1" x14ac:dyDescent="0.25">
      <c r="A113" s="26" t="s">
        <v>141</v>
      </c>
    </row>
    <row r="114" spans="1:1" x14ac:dyDescent="0.25">
      <c r="A114" s="26" t="s">
        <v>142</v>
      </c>
    </row>
    <row r="115" spans="1:1" x14ac:dyDescent="0.25">
      <c r="A115" s="26" t="s">
        <v>143</v>
      </c>
    </row>
    <row r="116" spans="1:1" x14ac:dyDescent="0.25">
      <c r="A116" s="26" t="s">
        <v>144</v>
      </c>
    </row>
    <row r="117" spans="1:1" x14ac:dyDescent="0.25">
      <c r="A117" s="26" t="s">
        <v>145</v>
      </c>
    </row>
    <row r="118" spans="1:1" x14ac:dyDescent="0.25">
      <c r="A118" s="26" t="s">
        <v>146</v>
      </c>
    </row>
    <row r="119" spans="1:1" x14ac:dyDescent="0.25">
      <c r="A119" s="26" t="s">
        <v>147</v>
      </c>
    </row>
    <row r="120" spans="1:1" x14ac:dyDescent="0.25">
      <c r="A120" s="26" t="s">
        <v>148</v>
      </c>
    </row>
    <row r="121" spans="1:1" x14ac:dyDescent="0.25">
      <c r="A121" s="26" t="s">
        <v>149</v>
      </c>
    </row>
    <row r="122" spans="1:1" x14ac:dyDescent="0.25">
      <c r="A122" s="26" t="s">
        <v>150</v>
      </c>
    </row>
    <row r="123" spans="1:1" x14ac:dyDescent="0.25">
      <c r="A123" s="26" t="s">
        <v>151</v>
      </c>
    </row>
    <row r="124" spans="1:1" x14ac:dyDescent="0.25">
      <c r="A124" s="26" t="s">
        <v>152</v>
      </c>
    </row>
    <row r="125" spans="1:1" x14ac:dyDescent="0.25">
      <c r="A125" s="26" t="s">
        <v>153</v>
      </c>
    </row>
    <row r="126" spans="1:1" x14ac:dyDescent="0.25">
      <c r="A126" s="26" t="s">
        <v>154</v>
      </c>
    </row>
    <row r="127" spans="1:1" x14ac:dyDescent="0.25">
      <c r="A127" s="26" t="s">
        <v>155</v>
      </c>
    </row>
    <row r="128" spans="1:1" x14ac:dyDescent="0.25">
      <c r="A128" s="26" t="s">
        <v>156</v>
      </c>
    </row>
    <row r="129" spans="1:1" x14ac:dyDescent="0.25">
      <c r="A129" s="26" t="s">
        <v>157</v>
      </c>
    </row>
    <row r="130" spans="1:1" x14ac:dyDescent="0.25">
      <c r="A130" s="26" t="s">
        <v>158</v>
      </c>
    </row>
    <row r="131" spans="1:1" x14ac:dyDescent="0.25">
      <c r="A131" s="26" t="s">
        <v>159</v>
      </c>
    </row>
    <row r="132" spans="1:1" x14ac:dyDescent="0.25">
      <c r="A132" s="26" t="s">
        <v>160</v>
      </c>
    </row>
    <row r="133" spans="1:1" x14ac:dyDescent="0.25">
      <c r="A133" s="26" t="s">
        <v>161</v>
      </c>
    </row>
    <row r="134" spans="1:1" x14ac:dyDescent="0.25">
      <c r="A134" s="26" t="s">
        <v>162</v>
      </c>
    </row>
    <row r="135" spans="1:1" x14ac:dyDescent="0.25">
      <c r="A135" s="26" t="s">
        <v>163</v>
      </c>
    </row>
    <row r="136" spans="1:1" x14ac:dyDescent="0.25">
      <c r="A136" s="26" t="s">
        <v>164</v>
      </c>
    </row>
    <row r="137" spans="1:1" x14ac:dyDescent="0.25">
      <c r="A137" s="26" t="s">
        <v>165</v>
      </c>
    </row>
    <row r="138" spans="1:1" x14ac:dyDescent="0.25">
      <c r="A138" s="26" t="s">
        <v>166</v>
      </c>
    </row>
    <row r="139" spans="1:1" x14ac:dyDescent="0.25">
      <c r="A139" s="26" t="s">
        <v>167</v>
      </c>
    </row>
    <row r="140" spans="1:1" x14ac:dyDescent="0.25">
      <c r="A140" s="26" t="s">
        <v>168</v>
      </c>
    </row>
    <row r="141" spans="1:1" x14ac:dyDescent="0.25">
      <c r="A141" s="26" t="s">
        <v>169</v>
      </c>
    </row>
    <row r="142" spans="1:1" x14ac:dyDescent="0.25">
      <c r="A142" s="26" t="s">
        <v>170</v>
      </c>
    </row>
    <row r="143" spans="1:1" x14ac:dyDescent="0.25">
      <c r="A143" s="26" t="s">
        <v>171</v>
      </c>
    </row>
    <row r="144" spans="1:1" x14ac:dyDescent="0.25">
      <c r="A144" s="26" t="s">
        <v>172</v>
      </c>
    </row>
    <row r="145" spans="1:1" x14ac:dyDescent="0.25">
      <c r="A145" s="26" t="s">
        <v>173</v>
      </c>
    </row>
    <row r="146" spans="1:1" x14ac:dyDescent="0.25">
      <c r="A146" s="26" t="s">
        <v>174</v>
      </c>
    </row>
    <row r="147" spans="1:1" x14ac:dyDescent="0.25">
      <c r="A147" s="26" t="s">
        <v>175</v>
      </c>
    </row>
    <row r="148" spans="1:1" x14ac:dyDescent="0.25">
      <c r="A148" s="26" t="s">
        <v>176</v>
      </c>
    </row>
    <row r="149" spans="1:1" x14ac:dyDescent="0.25">
      <c r="A149" s="26" t="s">
        <v>177</v>
      </c>
    </row>
    <row r="150" spans="1:1" x14ac:dyDescent="0.25">
      <c r="A150" s="26" t="s">
        <v>178</v>
      </c>
    </row>
    <row r="151" spans="1:1" x14ac:dyDescent="0.25">
      <c r="A151" s="26" t="s">
        <v>179</v>
      </c>
    </row>
    <row r="152" spans="1:1" x14ac:dyDescent="0.25">
      <c r="A152" s="26" t="s">
        <v>180</v>
      </c>
    </row>
    <row r="153" spans="1:1" x14ac:dyDescent="0.25">
      <c r="A153" s="26" t="s">
        <v>181</v>
      </c>
    </row>
    <row r="154" spans="1:1" x14ac:dyDescent="0.25">
      <c r="A154" s="26" t="s">
        <v>182</v>
      </c>
    </row>
    <row r="155" spans="1:1" x14ac:dyDescent="0.25">
      <c r="A155" s="26" t="s">
        <v>183</v>
      </c>
    </row>
    <row r="156" spans="1:1" x14ac:dyDescent="0.25">
      <c r="A156" s="26" t="s">
        <v>184</v>
      </c>
    </row>
    <row r="157" spans="1:1" x14ac:dyDescent="0.25">
      <c r="A157" s="26" t="s">
        <v>185</v>
      </c>
    </row>
    <row r="158" spans="1:1" x14ac:dyDescent="0.25">
      <c r="A158" s="26" t="s">
        <v>186</v>
      </c>
    </row>
    <row r="159" spans="1:1" x14ac:dyDescent="0.25">
      <c r="A159" s="26" t="s">
        <v>187</v>
      </c>
    </row>
    <row r="160" spans="1:1" x14ac:dyDescent="0.25">
      <c r="A160" s="26" t="s">
        <v>188</v>
      </c>
    </row>
    <row r="161" spans="1:1" x14ac:dyDescent="0.25">
      <c r="A161" s="26" t="s">
        <v>189</v>
      </c>
    </row>
    <row r="162" spans="1:1" x14ac:dyDescent="0.25">
      <c r="A162" s="26" t="s">
        <v>190</v>
      </c>
    </row>
    <row r="163" spans="1:1" x14ac:dyDescent="0.25">
      <c r="A163" s="26" t="s">
        <v>191</v>
      </c>
    </row>
    <row r="164" spans="1:1" x14ac:dyDescent="0.25">
      <c r="A164" s="26" t="s">
        <v>192</v>
      </c>
    </row>
    <row r="165" spans="1:1" x14ac:dyDescent="0.25">
      <c r="A165" s="26" t="s">
        <v>193</v>
      </c>
    </row>
    <row r="166" spans="1:1" x14ac:dyDescent="0.25">
      <c r="A166" s="26" t="s">
        <v>194</v>
      </c>
    </row>
    <row r="167" spans="1:1" x14ac:dyDescent="0.25">
      <c r="A167" s="26" t="s">
        <v>195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5D0A-4FFD-4774-B6AA-E8FF9EE77CFB}">
  <dimension ref="A1:L28"/>
  <sheetViews>
    <sheetView zoomScale="70" zoomScaleNormal="70" workbookViewId="0">
      <selection activeCell="C14" sqref="C14:C19"/>
    </sheetView>
  </sheetViews>
  <sheetFormatPr defaultRowHeight="21" x14ac:dyDescent="0.35"/>
  <cols>
    <col min="1" max="1" width="15.42578125" style="14" customWidth="1"/>
    <col min="2" max="2" width="17.7109375" style="14" customWidth="1"/>
    <col min="3" max="3" width="17.5703125" style="2" customWidth="1"/>
    <col min="4" max="4" width="15.42578125" style="14" customWidth="1"/>
    <col min="5" max="7" width="15.42578125" style="2" customWidth="1"/>
    <col min="8" max="9" width="15.42578125" style="10" hidden="1" customWidth="1"/>
    <col min="10" max="11" width="15.42578125" style="2" customWidth="1"/>
    <col min="12" max="12" width="45.7109375" style="47" customWidth="1"/>
  </cols>
  <sheetData>
    <row r="1" spans="1:12" ht="16.5" x14ac:dyDescent="0.25">
      <c r="A1" s="48" t="s">
        <v>400</v>
      </c>
      <c r="B1" s="9" t="s">
        <v>387</v>
      </c>
      <c r="C1" s="9" t="s">
        <v>448</v>
      </c>
      <c r="D1" s="9" t="s">
        <v>0</v>
      </c>
      <c r="E1" s="9" t="s">
        <v>430</v>
      </c>
      <c r="F1" s="9" t="s">
        <v>437</v>
      </c>
      <c r="G1" s="9" t="s">
        <v>435</v>
      </c>
      <c r="H1" s="9" t="s">
        <v>438</v>
      </c>
      <c r="I1" s="9" t="s">
        <v>436</v>
      </c>
      <c r="J1" s="9" t="s">
        <v>431</v>
      </c>
      <c r="K1" s="9" t="s">
        <v>441</v>
      </c>
      <c r="L1" s="49" t="s">
        <v>439</v>
      </c>
    </row>
    <row r="2" spans="1:12" s="8" customFormat="1" ht="30" customHeight="1" x14ac:dyDescent="0.25">
      <c r="A2" s="110">
        <v>1</v>
      </c>
      <c r="B2" s="126" t="s">
        <v>4</v>
      </c>
      <c r="C2" s="124" t="s">
        <v>13</v>
      </c>
      <c r="D2" s="126" t="s">
        <v>1</v>
      </c>
      <c r="E2" s="50" t="s">
        <v>433</v>
      </c>
      <c r="F2" s="50">
        <v>0.74460000000000004</v>
      </c>
      <c r="G2" s="50">
        <v>3.3000000000000002E-2</v>
      </c>
      <c r="H2" s="113">
        <f>AVERAGE(F2:F4)</f>
        <v>0.75556666666666672</v>
      </c>
      <c r="I2" s="113">
        <f>AVERAGE(G2:G4)</f>
        <v>3.2633333333333334E-2</v>
      </c>
      <c r="J2" s="50" t="s">
        <v>440</v>
      </c>
      <c r="K2" s="50">
        <v>14</v>
      </c>
      <c r="L2" s="121" t="s">
        <v>443</v>
      </c>
    </row>
    <row r="3" spans="1:12" s="8" customFormat="1" ht="30" customHeight="1" x14ac:dyDescent="0.25">
      <c r="A3" s="110"/>
      <c r="B3" s="126"/>
      <c r="C3" s="124"/>
      <c r="D3" s="126"/>
      <c r="E3" s="50" t="s">
        <v>20</v>
      </c>
      <c r="F3" s="50">
        <v>0.84409999999999996</v>
      </c>
      <c r="G3" s="50">
        <v>3.04E-2</v>
      </c>
      <c r="H3" s="113"/>
      <c r="I3" s="113"/>
      <c r="J3" s="50" t="s">
        <v>440</v>
      </c>
      <c r="K3" s="50">
        <v>10</v>
      </c>
      <c r="L3" s="122"/>
    </row>
    <row r="4" spans="1:12" s="8" customFormat="1" ht="30" customHeight="1" x14ac:dyDescent="0.25">
      <c r="A4" s="110"/>
      <c r="B4" s="126"/>
      <c r="C4" s="124"/>
      <c r="D4" s="126"/>
      <c r="E4" s="50" t="s">
        <v>434</v>
      </c>
      <c r="F4" s="50">
        <v>0.67800000000000005</v>
      </c>
      <c r="G4" s="50">
        <v>3.4500000000000003E-2</v>
      </c>
      <c r="H4" s="113"/>
      <c r="I4" s="113"/>
      <c r="J4" s="50" t="s">
        <v>440</v>
      </c>
      <c r="K4" s="50">
        <v>14</v>
      </c>
      <c r="L4" s="122"/>
    </row>
    <row r="5" spans="1:12" s="8" customFormat="1" ht="30" customHeight="1" x14ac:dyDescent="0.25">
      <c r="A5" s="111">
        <v>2</v>
      </c>
      <c r="B5" s="127" t="s">
        <v>4</v>
      </c>
      <c r="C5" s="125" t="s">
        <v>14</v>
      </c>
      <c r="D5" s="127" t="s">
        <v>1</v>
      </c>
      <c r="E5" s="52" t="s">
        <v>433</v>
      </c>
      <c r="F5" s="52">
        <v>0.4128</v>
      </c>
      <c r="G5" s="52">
        <v>0.2228</v>
      </c>
      <c r="H5" s="114">
        <f>AVERAGE(F5:F7)</f>
        <v>0.45896666666666669</v>
      </c>
      <c r="I5" s="114">
        <f>AVERAGE(G5:G7)</f>
        <v>0.18426666666666669</v>
      </c>
      <c r="J5" s="52" t="s">
        <v>440</v>
      </c>
      <c r="K5" s="52">
        <v>5</v>
      </c>
      <c r="L5" s="123" t="s">
        <v>445</v>
      </c>
    </row>
    <row r="6" spans="1:12" s="8" customFormat="1" ht="30" customHeight="1" x14ac:dyDescent="0.25">
      <c r="A6" s="111"/>
      <c r="B6" s="127"/>
      <c r="C6" s="125"/>
      <c r="D6" s="127"/>
      <c r="E6" s="52" t="s">
        <v>20</v>
      </c>
      <c r="F6" s="52">
        <v>0.4995</v>
      </c>
      <c r="G6" s="52">
        <v>0.1731</v>
      </c>
      <c r="H6" s="114"/>
      <c r="I6" s="114"/>
      <c r="J6" s="52" t="s">
        <v>440</v>
      </c>
      <c r="K6" s="52">
        <v>6</v>
      </c>
      <c r="L6" s="123"/>
    </row>
    <row r="7" spans="1:12" s="8" customFormat="1" ht="30" customHeight="1" x14ac:dyDescent="0.25">
      <c r="A7" s="111"/>
      <c r="B7" s="127"/>
      <c r="C7" s="125"/>
      <c r="D7" s="127"/>
      <c r="E7" s="52" t="s">
        <v>434</v>
      </c>
      <c r="F7" s="52">
        <v>0.46460000000000001</v>
      </c>
      <c r="G7" s="52">
        <v>0.15690000000000001</v>
      </c>
      <c r="H7" s="114"/>
      <c r="I7" s="114"/>
      <c r="J7" s="52" t="s">
        <v>440</v>
      </c>
      <c r="K7" s="52">
        <v>6</v>
      </c>
      <c r="L7" s="123"/>
    </row>
    <row r="8" spans="1:12" s="8" customFormat="1" ht="30" customHeight="1" x14ac:dyDescent="0.25">
      <c r="A8" s="110">
        <v>3</v>
      </c>
      <c r="B8" s="126" t="s">
        <v>10</v>
      </c>
      <c r="C8" s="124" t="s">
        <v>13</v>
      </c>
      <c r="D8" s="126" t="s">
        <v>1</v>
      </c>
      <c r="E8" s="50" t="s">
        <v>433</v>
      </c>
      <c r="F8" s="50">
        <v>0.77500000000000002</v>
      </c>
      <c r="G8" s="50">
        <v>3.0499999999999999E-2</v>
      </c>
      <c r="H8" s="113">
        <f>AVERAGE(F8:F10)</f>
        <v>0.78969999999999996</v>
      </c>
      <c r="I8" s="113">
        <f>AVERAGE(G8:G10)</f>
        <v>3.2966666666666665E-2</v>
      </c>
      <c r="J8" s="50" t="s">
        <v>440</v>
      </c>
      <c r="K8" s="50">
        <v>9</v>
      </c>
      <c r="L8" s="121" t="s">
        <v>442</v>
      </c>
    </row>
    <row r="9" spans="1:12" s="8" customFormat="1" ht="30" customHeight="1" x14ac:dyDescent="0.25">
      <c r="A9" s="110"/>
      <c r="B9" s="126"/>
      <c r="C9" s="124"/>
      <c r="D9" s="126"/>
      <c r="E9" s="50" t="s">
        <v>20</v>
      </c>
      <c r="F9" s="50">
        <v>0.83160000000000001</v>
      </c>
      <c r="G9" s="50">
        <v>3.5499999999999997E-2</v>
      </c>
      <c r="H9" s="113"/>
      <c r="I9" s="113"/>
      <c r="J9" s="50" t="s">
        <v>440</v>
      </c>
      <c r="K9" s="50">
        <v>11</v>
      </c>
      <c r="L9" s="122"/>
    </row>
    <row r="10" spans="1:12" s="8" customFormat="1" ht="30" customHeight="1" x14ac:dyDescent="0.25">
      <c r="A10" s="110"/>
      <c r="B10" s="126"/>
      <c r="C10" s="124"/>
      <c r="D10" s="126"/>
      <c r="E10" s="50" t="s">
        <v>434</v>
      </c>
      <c r="F10" s="50">
        <v>0.76249999999999996</v>
      </c>
      <c r="G10" s="50">
        <v>3.2899999999999999E-2</v>
      </c>
      <c r="H10" s="113"/>
      <c r="I10" s="113"/>
      <c r="J10" s="50" t="s">
        <v>440</v>
      </c>
      <c r="K10" s="50">
        <v>12</v>
      </c>
      <c r="L10" s="122"/>
    </row>
    <row r="11" spans="1:12" s="8" customFormat="1" ht="30" customHeight="1" x14ac:dyDescent="0.25">
      <c r="A11" s="111">
        <v>4</v>
      </c>
      <c r="B11" s="127" t="s">
        <v>10</v>
      </c>
      <c r="C11" s="125" t="s">
        <v>14</v>
      </c>
      <c r="D11" s="127" t="s">
        <v>1</v>
      </c>
      <c r="E11" s="52" t="s">
        <v>433</v>
      </c>
      <c r="F11" s="52">
        <v>0.42049999999999998</v>
      </c>
      <c r="G11" s="52">
        <v>0.224</v>
      </c>
      <c r="H11" s="114">
        <f>AVERAGE(F11:F13)</f>
        <v>0.49033333333333334</v>
      </c>
      <c r="I11" s="114">
        <f>AVERAGE(G11:G13)</f>
        <v>0.22073333333333334</v>
      </c>
      <c r="J11" s="52" t="s">
        <v>440</v>
      </c>
      <c r="K11" s="52">
        <v>5</v>
      </c>
      <c r="L11" s="115" t="s">
        <v>444</v>
      </c>
    </row>
    <row r="12" spans="1:12" s="8" customFormat="1" ht="30" customHeight="1" x14ac:dyDescent="0.25">
      <c r="A12" s="111"/>
      <c r="B12" s="127"/>
      <c r="C12" s="125"/>
      <c r="D12" s="127"/>
      <c r="E12" s="52" t="s">
        <v>20</v>
      </c>
      <c r="F12" s="52">
        <v>0.50529999999999997</v>
      </c>
      <c r="G12" s="52">
        <v>0.20880000000000001</v>
      </c>
      <c r="H12" s="114"/>
      <c r="I12" s="114"/>
      <c r="J12" s="52" t="s">
        <v>440</v>
      </c>
      <c r="K12" s="52">
        <v>6</v>
      </c>
      <c r="L12" s="116"/>
    </row>
    <row r="13" spans="1:12" s="8" customFormat="1" ht="30" customHeight="1" x14ac:dyDescent="0.25">
      <c r="A13" s="111"/>
      <c r="B13" s="127"/>
      <c r="C13" s="125"/>
      <c r="D13" s="127"/>
      <c r="E13" s="52" t="s">
        <v>434</v>
      </c>
      <c r="F13" s="52">
        <v>0.54520000000000002</v>
      </c>
      <c r="G13" s="52">
        <v>0.22939999999999999</v>
      </c>
      <c r="H13" s="114"/>
      <c r="I13" s="114"/>
      <c r="J13" s="52" t="s">
        <v>440</v>
      </c>
      <c r="K13" s="52">
        <v>6</v>
      </c>
      <c r="L13" s="116"/>
    </row>
    <row r="14" spans="1:12" s="8" customFormat="1" ht="30" customHeight="1" x14ac:dyDescent="0.25">
      <c r="A14" s="110">
        <v>5</v>
      </c>
      <c r="B14" s="126" t="s">
        <v>416</v>
      </c>
      <c r="C14" s="53" t="s">
        <v>14</v>
      </c>
      <c r="D14" s="126" t="s">
        <v>2</v>
      </c>
      <c r="E14" s="50" t="s">
        <v>416</v>
      </c>
      <c r="F14" s="50"/>
      <c r="G14" s="50"/>
      <c r="H14" s="113" t="e">
        <f>AVERAGE(F14:F16)</f>
        <v>#DIV/0!</v>
      </c>
      <c r="I14" s="113" t="e">
        <f>AVERAGE(G14:G16)</f>
        <v>#DIV/0!</v>
      </c>
      <c r="J14" s="50"/>
      <c r="K14" s="50"/>
      <c r="L14" s="117" t="s">
        <v>446</v>
      </c>
    </row>
    <row r="15" spans="1:12" s="8" customFormat="1" ht="30" customHeight="1" x14ac:dyDescent="0.25">
      <c r="A15" s="110"/>
      <c r="B15" s="126"/>
      <c r="C15" s="53" t="s">
        <v>449</v>
      </c>
      <c r="D15" s="126"/>
      <c r="E15" s="50" t="s">
        <v>416</v>
      </c>
      <c r="F15" s="50"/>
      <c r="G15" s="50"/>
      <c r="H15" s="113"/>
      <c r="I15" s="113"/>
      <c r="J15" s="50"/>
      <c r="K15" s="50"/>
      <c r="L15" s="118"/>
    </row>
    <row r="16" spans="1:12" s="8" customFormat="1" ht="30" customHeight="1" x14ac:dyDescent="0.25">
      <c r="A16" s="110"/>
      <c r="B16" s="126"/>
      <c r="C16" s="53" t="s">
        <v>450</v>
      </c>
      <c r="D16" s="126"/>
      <c r="E16" s="50" t="s">
        <v>416</v>
      </c>
      <c r="F16" s="50"/>
      <c r="G16" s="50"/>
      <c r="H16" s="113"/>
      <c r="I16" s="113"/>
      <c r="J16" s="50"/>
      <c r="K16" s="50"/>
      <c r="L16" s="118"/>
    </row>
    <row r="17" spans="1:12" s="8" customFormat="1" ht="30" customHeight="1" x14ac:dyDescent="0.25">
      <c r="A17" s="111">
        <v>6</v>
      </c>
      <c r="B17" s="127" t="s">
        <v>416</v>
      </c>
      <c r="C17" s="55" t="s">
        <v>14</v>
      </c>
      <c r="D17" s="127" t="s">
        <v>1</v>
      </c>
      <c r="E17" s="52" t="s">
        <v>416</v>
      </c>
      <c r="F17" s="52">
        <v>0.22670000000000001</v>
      </c>
      <c r="G17" s="52">
        <v>0.26279999999999998</v>
      </c>
      <c r="H17" s="114">
        <f>AVERAGE(F17:F19)</f>
        <v>0.56733333333333336</v>
      </c>
      <c r="I17" s="114">
        <f>AVERAGE(G17:G19)</f>
        <v>0.11243333333333333</v>
      </c>
      <c r="J17" s="52" t="s">
        <v>440</v>
      </c>
      <c r="K17" s="52">
        <v>3</v>
      </c>
      <c r="L17" s="115" t="s">
        <v>447</v>
      </c>
    </row>
    <row r="18" spans="1:12" s="8" customFormat="1" ht="30" customHeight="1" x14ac:dyDescent="0.25">
      <c r="A18" s="111"/>
      <c r="B18" s="127"/>
      <c r="C18" s="55" t="s">
        <v>449</v>
      </c>
      <c r="D18" s="127"/>
      <c r="E18" s="52" t="s">
        <v>416</v>
      </c>
      <c r="F18" s="52">
        <v>0.75260000000000005</v>
      </c>
      <c r="G18" s="52">
        <v>3.0499999999999999E-2</v>
      </c>
      <c r="H18" s="114"/>
      <c r="I18" s="114"/>
      <c r="J18" s="52" t="s">
        <v>440</v>
      </c>
      <c r="K18" s="52">
        <v>10</v>
      </c>
      <c r="L18" s="116"/>
    </row>
    <row r="19" spans="1:12" s="8" customFormat="1" ht="30" customHeight="1" x14ac:dyDescent="0.25">
      <c r="A19" s="111"/>
      <c r="B19" s="127"/>
      <c r="C19" s="55" t="s">
        <v>450</v>
      </c>
      <c r="D19" s="127"/>
      <c r="E19" s="52" t="s">
        <v>416</v>
      </c>
      <c r="F19" s="52">
        <v>0.72270000000000001</v>
      </c>
      <c r="G19" s="52">
        <v>4.3999999999999997E-2</v>
      </c>
      <c r="H19" s="114"/>
      <c r="I19" s="114"/>
      <c r="J19" s="52" t="s">
        <v>440</v>
      </c>
      <c r="K19" s="52">
        <v>9</v>
      </c>
      <c r="L19" s="116"/>
    </row>
    <row r="20" spans="1:12" s="8" customFormat="1" ht="30" customHeight="1" x14ac:dyDescent="0.25">
      <c r="A20" s="110">
        <v>7</v>
      </c>
      <c r="B20" s="50" t="s">
        <v>7</v>
      </c>
      <c r="C20" s="124" t="s">
        <v>14</v>
      </c>
      <c r="D20" s="126" t="s">
        <v>1</v>
      </c>
      <c r="E20" s="50" t="s">
        <v>416</v>
      </c>
      <c r="F20" s="50">
        <v>0.40860000000000002</v>
      </c>
      <c r="G20" s="50">
        <v>0.2261</v>
      </c>
      <c r="H20" s="113">
        <f>AVERAGE(F20:F22)</f>
        <v>0.48966666666666664</v>
      </c>
      <c r="I20" s="113">
        <f>AVERAGE(G20:G22)</f>
        <v>0.13786666666666667</v>
      </c>
      <c r="J20" s="50" t="s">
        <v>440</v>
      </c>
      <c r="K20" s="50">
        <v>5</v>
      </c>
      <c r="L20" s="117" t="s">
        <v>455</v>
      </c>
    </row>
    <row r="21" spans="1:12" s="8" customFormat="1" ht="30" customHeight="1" x14ac:dyDescent="0.25">
      <c r="A21" s="110"/>
      <c r="B21" s="50" t="s">
        <v>451</v>
      </c>
      <c r="C21" s="124"/>
      <c r="D21" s="126"/>
      <c r="E21" s="54">
        <v>0.2</v>
      </c>
      <c r="F21" s="50">
        <v>0.47939999999999999</v>
      </c>
      <c r="G21" s="50">
        <v>0.10150000000000001</v>
      </c>
      <c r="H21" s="113"/>
      <c r="I21" s="113"/>
      <c r="J21" s="50" t="s">
        <v>440</v>
      </c>
      <c r="K21" s="50">
        <v>8</v>
      </c>
      <c r="L21" s="118"/>
    </row>
    <row r="22" spans="1:12" s="8" customFormat="1" ht="30" customHeight="1" x14ac:dyDescent="0.25">
      <c r="A22" s="110"/>
      <c r="B22" s="50" t="s">
        <v>452</v>
      </c>
      <c r="C22" s="124"/>
      <c r="D22" s="126"/>
      <c r="E22" s="54">
        <v>0.2</v>
      </c>
      <c r="F22" s="50">
        <v>0.58099999999999996</v>
      </c>
      <c r="G22" s="50">
        <v>8.5999999999999993E-2</v>
      </c>
      <c r="H22" s="113"/>
      <c r="I22" s="113"/>
      <c r="J22" s="50" t="s">
        <v>440</v>
      </c>
      <c r="K22" s="50">
        <v>8</v>
      </c>
      <c r="L22" s="118"/>
    </row>
    <row r="23" spans="1:12" s="8" customFormat="1" ht="30" customHeight="1" x14ac:dyDescent="0.25">
      <c r="A23" s="111">
        <v>8</v>
      </c>
      <c r="B23" s="128" t="s">
        <v>11</v>
      </c>
      <c r="C23" s="125" t="s">
        <v>17</v>
      </c>
      <c r="D23" s="127" t="s">
        <v>1</v>
      </c>
      <c r="E23" s="52" t="s">
        <v>433</v>
      </c>
      <c r="F23" s="52">
        <v>0.84909999999999997</v>
      </c>
      <c r="G23" s="52">
        <v>2.5600000000000001E-2</v>
      </c>
      <c r="H23" s="114">
        <f>AVERAGE(F23:F25)</f>
        <v>0.78849999999999998</v>
      </c>
      <c r="I23" s="114">
        <f>AVERAGE(G23:G25)</f>
        <v>3.4733333333333331E-2</v>
      </c>
      <c r="J23" s="52" t="s">
        <v>440</v>
      </c>
      <c r="K23" s="52">
        <v>14</v>
      </c>
      <c r="L23" s="115" t="s">
        <v>454</v>
      </c>
    </row>
    <row r="24" spans="1:12" s="8" customFormat="1" ht="30" customHeight="1" x14ac:dyDescent="0.25">
      <c r="A24" s="111"/>
      <c r="B24" s="128"/>
      <c r="C24" s="125"/>
      <c r="D24" s="127"/>
      <c r="E24" s="52" t="s">
        <v>20</v>
      </c>
      <c r="F24" s="52">
        <v>0.73580000000000001</v>
      </c>
      <c r="G24" s="52">
        <v>4.3099999999999999E-2</v>
      </c>
      <c r="H24" s="114"/>
      <c r="I24" s="114"/>
      <c r="J24" s="52" t="s">
        <v>440</v>
      </c>
      <c r="K24" s="52">
        <v>10</v>
      </c>
      <c r="L24" s="116"/>
    </row>
    <row r="25" spans="1:12" s="8" customFormat="1" ht="30" customHeight="1" x14ac:dyDescent="0.25">
      <c r="A25" s="111"/>
      <c r="B25" s="128"/>
      <c r="C25" s="125"/>
      <c r="D25" s="127"/>
      <c r="E25" s="52" t="s">
        <v>434</v>
      </c>
      <c r="F25" s="52">
        <v>0.78059999999999996</v>
      </c>
      <c r="G25" s="52">
        <v>3.5499999999999997E-2</v>
      </c>
      <c r="H25" s="114"/>
      <c r="I25" s="114"/>
      <c r="J25" s="52" t="s">
        <v>440</v>
      </c>
      <c r="K25" s="52">
        <v>13</v>
      </c>
      <c r="L25" s="116"/>
    </row>
    <row r="26" spans="1:12" s="8" customFormat="1" ht="30" customHeight="1" x14ac:dyDescent="0.25">
      <c r="A26" s="110">
        <v>9</v>
      </c>
      <c r="B26" s="129" t="s">
        <v>11</v>
      </c>
      <c r="C26" s="132" t="s">
        <v>14</v>
      </c>
      <c r="D26" s="126" t="s">
        <v>1</v>
      </c>
      <c r="E26" s="50" t="s">
        <v>433</v>
      </c>
      <c r="F26" s="50">
        <v>0.4879</v>
      </c>
      <c r="G26" s="50">
        <v>0.19980000000000001</v>
      </c>
      <c r="H26" s="113">
        <f>AVERAGE(F26:F28)</f>
        <v>0.6048</v>
      </c>
      <c r="I26" s="113">
        <f>AVERAGE(G26:G28)</f>
        <v>0.17100000000000001</v>
      </c>
      <c r="J26" s="50" t="s">
        <v>440</v>
      </c>
      <c r="K26" s="50">
        <v>7</v>
      </c>
      <c r="L26" s="117" t="s">
        <v>453</v>
      </c>
    </row>
    <row r="27" spans="1:12" s="8" customFormat="1" ht="30" customHeight="1" x14ac:dyDescent="0.25">
      <c r="A27" s="110"/>
      <c r="B27" s="129"/>
      <c r="C27" s="132"/>
      <c r="D27" s="126"/>
      <c r="E27" s="50" t="s">
        <v>20</v>
      </c>
      <c r="F27" s="50">
        <v>0.64559999999999995</v>
      </c>
      <c r="G27" s="50">
        <v>0.14940000000000001</v>
      </c>
      <c r="H27" s="113"/>
      <c r="I27" s="113"/>
      <c r="J27" s="50" t="s">
        <v>440</v>
      </c>
      <c r="K27" s="50">
        <v>8</v>
      </c>
      <c r="L27" s="118"/>
    </row>
    <row r="28" spans="1:12" s="8" customFormat="1" ht="30" customHeight="1" x14ac:dyDescent="0.25">
      <c r="A28" s="112"/>
      <c r="B28" s="130"/>
      <c r="C28" s="133"/>
      <c r="D28" s="131"/>
      <c r="E28" s="51" t="s">
        <v>434</v>
      </c>
      <c r="F28" s="51">
        <v>0.68089999999999995</v>
      </c>
      <c r="G28" s="51">
        <v>0.1638</v>
      </c>
      <c r="H28" s="120"/>
      <c r="I28" s="120"/>
      <c r="J28" s="51" t="s">
        <v>440</v>
      </c>
      <c r="K28" s="51">
        <v>4</v>
      </c>
      <c r="L28" s="119"/>
    </row>
  </sheetData>
  <mergeCells count="60">
    <mergeCell ref="B26:B28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C23:C25"/>
    <mergeCell ref="C26:C28"/>
    <mergeCell ref="B2:B4"/>
    <mergeCell ref="B5:B7"/>
    <mergeCell ref="B8:B10"/>
    <mergeCell ref="B11:B13"/>
    <mergeCell ref="B14:B16"/>
    <mergeCell ref="B17:B19"/>
    <mergeCell ref="B23:B25"/>
    <mergeCell ref="I20:I22"/>
    <mergeCell ref="I23:I25"/>
    <mergeCell ref="I2:I4"/>
    <mergeCell ref="I5:I7"/>
    <mergeCell ref="I8:I10"/>
    <mergeCell ref="I11:I13"/>
    <mergeCell ref="I14:I16"/>
    <mergeCell ref="C2:C4"/>
    <mergeCell ref="C5:C7"/>
    <mergeCell ref="C8:C10"/>
    <mergeCell ref="C11:C13"/>
    <mergeCell ref="C20:C22"/>
    <mergeCell ref="L2:L4"/>
    <mergeCell ref="L5:L7"/>
    <mergeCell ref="L8:L10"/>
    <mergeCell ref="L11:L13"/>
    <mergeCell ref="L14:L16"/>
    <mergeCell ref="L17:L19"/>
    <mergeCell ref="L20:L22"/>
    <mergeCell ref="L23:L25"/>
    <mergeCell ref="L26:L28"/>
    <mergeCell ref="H23:H25"/>
    <mergeCell ref="H26:H28"/>
    <mergeCell ref="I26:I28"/>
    <mergeCell ref="I17:I19"/>
    <mergeCell ref="A20:A22"/>
    <mergeCell ref="A23:A25"/>
    <mergeCell ref="A26:A28"/>
    <mergeCell ref="H2:H4"/>
    <mergeCell ref="H5:H7"/>
    <mergeCell ref="H8:H10"/>
    <mergeCell ref="H11:H13"/>
    <mergeCell ref="H14:H16"/>
    <mergeCell ref="H17:H19"/>
    <mergeCell ref="H20:H22"/>
    <mergeCell ref="A2:A4"/>
    <mergeCell ref="A5:A7"/>
    <mergeCell ref="A8:A10"/>
    <mergeCell ref="A11:A13"/>
    <mergeCell ref="A14:A16"/>
    <mergeCell ref="A17:A19"/>
  </mergeCells>
  <conditionalFormatting sqref="F2:F28 H2:H28">
    <cfRule type="colorScale" priority="1">
      <colorScale>
        <cfvo type="num" val="0.3"/>
        <cfvo type="num" val="0.7"/>
        <cfvo type="num" val="0.9"/>
        <color rgb="FFF8696B"/>
        <color rgb="FFFFEB84"/>
        <color rgb="FF00B050"/>
      </colorScale>
    </cfRule>
  </conditionalFormatting>
  <conditionalFormatting sqref="G2:G28">
    <cfRule type="colorScale" priority="2">
      <colorScale>
        <cfvo type="num" val="0"/>
        <cfvo type="num" val="0.4"/>
        <color rgb="FF00B050"/>
        <color rgb="FFFFC000"/>
      </colorScale>
    </cfRule>
  </conditionalFormatting>
  <pageMargins left="0.7" right="0.7" top="0.75" bottom="0.75" header="0.3" footer="0.3"/>
  <ignoredErrors>
    <ignoredError sqref="H2:I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1EDB-064A-42C3-A359-78A83957380F}">
  <dimension ref="A1:BG100"/>
  <sheetViews>
    <sheetView topLeftCell="AB31" zoomScale="70" zoomScaleNormal="70" workbookViewId="0">
      <selection activeCell="AF66" sqref="AF66:AU106"/>
    </sheetView>
  </sheetViews>
  <sheetFormatPr defaultRowHeight="15" x14ac:dyDescent="0.25"/>
  <cols>
    <col min="2" max="2" width="3.85546875" style="56" customWidth="1"/>
    <col min="3" max="3" width="3.85546875" customWidth="1"/>
    <col min="5" max="5" width="15.140625" bestFit="1" customWidth="1"/>
    <col min="6" max="6" width="17.85546875" customWidth="1"/>
    <col min="7" max="7" width="6.7109375" bestFit="1" customWidth="1"/>
    <col min="8" max="8" width="19.5703125" customWidth="1"/>
    <col min="9" max="10" width="21.140625" customWidth="1"/>
    <col min="11" max="12" width="21.140625" style="4" customWidth="1"/>
    <col min="13" max="15" width="21.140625" style="4" hidden="1" customWidth="1"/>
    <col min="16" max="21" width="21.140625" style="4" customWidth="1"/>
    <col min="22" max="22" width="17.5703125" customWidth="1"/>
    <col min="23" max="23" width="9.140625" customWidth="1"/>
    <col min="24" max="34" width="21.140625" customWidth="1"/>
    <col min="35" max="39" width="21.140625" style="4" customWidth="1"/>
    <col min="40" max="43" width="17" style="4" hidden="1" customWidth="1"/>
    <col min="44" max="46" width="10.5703125" hidden="1" customWidth="1"/>
    <col min="47" max="48" width="10.42578125" customWidth="1"/>
    <col min="49" max="51" width="10.5703125" hidden="1" customWidth="1"/>
    <col min="52" max="59" width="10.5703125" customWidth="1"/>
  </cols>
  <sheetData>
    <row r="1" spans="1:42" x14ac:dyDescent="0.25">
      <c r="B1"/>
    </row>
    <row r="2" spans="1:42" x14ac:dyDescent="0.25">
      <c r="A2" t="s">
        <v>457</v>
      </c>
      <c r="B2" s="56">
        <v>1</v>
      </c>
      <c r="C2">
        <v>0</v>
      </c>
      <c r="H2" t="s">
        <v>396</v>
      </c>
      <c r="K2" s="134">
        <v>5</v>
      </c>
      <c r="L2" s="134"/>
      <c r="T2" s="134">
        <v>10</v>
      </c>
      <c r="U2" s="134"/>
      <c r="AC2" s="135">
        <v>50</v>
      </c>
      <c r="AD2" s="135"/>
      <c r="AL2" s="134">
        <v>100</v>
      </c>
      <c r="AM2" s="134"/>
    </row>
    <row r="3" spans="1:42" x14ac:dyDescent="0.25">
      <c r="B3" s="56">
        <v>1</v>
      </c>
      <c r="C3">
        <v>1</v>
      </c>
      <c r="G3" t="s">
        <v>389</v>
      </c>
      <c r="H3" t="s">
        <v>430</v>
      </c>
      <c r="I3" t="s">
        <v>458</v>
      </c>
      <c r="J3" t="s">
        <v>459</v>
      </c>
      <c r="K3" s="4" t="s">
        <v>460</v>
      </c>
      <c r="L3" s="4" t="s">
        <v>461</v>
      </c>
      <c r="M3" s="4" t="s">
        <v>462</v>
      </c>
      <c r="N3" s="4" t="s">
        <v>463</v>
      </c>
      <c r="O3" s="4" t="s">
        <v>25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223</v>
      </c>
      <c r="U3" s="4" t="s">
        <v>224</v>
      </c>
      <c r="V3" t="s">
        <v>225</v>
      </c>
      <c r="W3" t="s">
        <v>226</v>
      </c>
      <c r="X3" t="s">
        <v>227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25</v>
      </c>
      <c r="AI3" s="4" t="s">
        <v>26</v>
      </c>
      <c r="AJ3" s="4" t="s">
        <v>27</v>
      </c>
      <c r="AK3" s="4" t="s">
        <v>28</v>
      </c>
      <c r="AL3" s="4" t="s">
        <v>223</v>
      </c>
      <c r="AM3" s="4" t="s">
        <v>224</v>
      </c>
      <c r="AN3" t="s">
        <v>225</v>
      </c>
      <c r="AO3" t="s">
        <v>226</v>
      </c>
      <c r="AP3" t="s">
        <v>227</v>
      </c>
    </row>
    <row r="4" spans="1:42" x14ac:dyDescent="0.25">
      <c r="B4" s="56">
        <v>1</v>
      </c>
      <c r="C4">
        <v>2</v>
      </c>
      <c r="G4" s="4">
        <v>1</v>
      </c>
      <c r="H4" s="4" t="s">
        <v>469</v>
      </c>
      <c r="I4" s="4">
        <v>20</v>
      </c>
      <c r="J4" s="4">
        <v>21</v>
      </c>
      <c r="K4" s="11">
        <v>0.3977</v>
      </c>
      <c r="L4" s="11">
        <v>0.39679999999999999</v>
      </c>
      <c r="M4" s="4">
        <v>8.9999999999999998E-4</v>
      </c>
      <c r="N4" s="4" t="s">
        <v>467</v>
      </c>
      <c r="O4" s="4" t="s">
        <v>468</v>
      </c>
      <c r="P4" s="4">
        <v>1</v>
      </c>
      <c r="Q4" s="4" t="s">
        <v>469</v>
      </c>
      <c r="R4" s="4">
        <v>20</v>
      </c>
      <c r="S4" s="4">
        <v>21</v>
      </c>
      <c r="T4" s="61">
        <v>0.39760000000000001</v>
      </c>
      <c r="U4" s="62">
        <v>0.40560000000000002</v>
      </c>
      <c r="V4">
        <v>-8.0000000000000002E-3</v>
      </c>
      <c r="W4" t="s">
        <v>467</v>
      </c>
      <c r="X4" t="s">
        <v>468</v>
      </c>
      <c r="Y4" s="4">
        <v>1</v>
      </c>
      <c r="Z4" s="4" t="s">
        <v>469</v>
      </c>
      <c r="AA4" s="4">
        <v>20</v>
      </c>
      <c r="AB4" s="4">
        <v>21</v>
      </c>
      <c r="AC4" s="11">
        <v>0.39700000000000002</v>
      </c>
      <c r="AD4" s="11">
        <v>0.39589999999999997</v>
      </c>
      <c r="AE4" s="4">
        <v>1.1999999999999999E-3</v>
      </c>
      <c r="AF4" s="4" t="s">
        <v>467</v>
      </c>
      <c r="AG4" s="4" t="s">
        <v>468</v>
      </c>
      <c r="AH4" s="4">
        <v>1</v>
      </c>
      <c r="AI4" s="4" t="s">
        <v>469</v>
      </c>
      <c r="AJ4" s="4">
        <v>20</v>
      </c>
      <c r="AK4" s="4">
        <v>21</v>
      </c>
      <c r="AL4" s="61">
        <v>0.37380000000000002</v>
      </c>
      <c r="AM4" s="62">
        <v>0.35680000000000001</v>
      </c>
      <c r="AN4">
        <v>1.7000000000000001E-2</v>
      </c>
      <c r="AO4" t="s">
        <v>467</v>
      </c>
      <c r="AP4" t="s">
        <v>468</v>
      </c>
    </row>
    <row r="5" spans="1:42" x14ac:dyDescent="0.25">
      <c r="B5" s="56">
        <v>2</v>
      </c>
      <c r="C5">
        <v>0</v>
      </c>
      <c r="G5" s="4">
        <v>1</v>
      </c>
      <c r="H5" s="4" t="s">
        <v>394</v>
      </c>
      <c r="I5" s="4">
        <v>6</v>
      </c>
      <c r="J5" s="4">
        <v>21</v>
      </c>
      <c r="K5" s="11">
        <v>0.26069999999999999</v>
      </c>
      <c r="L5" s="11">
        <v>0.36859999999999998</v>
      </c>
      <c r="M5" s="4">
        <v>-0.1079</v>
      </c>
      <c r="N5" s="4" t="s">
        <v>467</v>
      </c>
      <c r="O5" s="4" t="s">
        <v>468</v>
      </c>
      <c r="P5" s="4">
        <v>1</v>
      </c>
      <c r="Q5" s="4" t="s">
        <v>394</v>
      </c>
      <c r="R5" s="4">
        <v>15</v>
      </c>
      <c r="S5" s="4">
        <v>21</v>
      </c>
      <c r="T5" s="61">
        <v>0.28460000000000002</v>
      </c>
      <c r="U5" s="62">
        <v>0.38419999999999999</v>
      </c>
      <c r="V5">
        <v>-9.9599999999999994E-2</v>
      </c>
      <c r="W5" t="s">
        <v>467</v>
      </c>
      <c r="X5" t="s">
        <v>468</v>
      </c>
      <c r="Y5" s="4">
        <v>1</v>
      </c>
      <c r="Z5" s="4" t="s">
        <v>394</v>
      </c>
      <c r="AA5" s="4">
        <v>15</v>
      </c>
      <c r="AB5" s="4">
        <v>21</v>
      </c>
      <c r="AC5" s="11">
        <v>0.26650000000000001</v>
      </c>
      <c r="AD5" s="11">
        <v>0.29699999999999999</v>
      </c>
      <c r="AE5" s="4">
        <v>-3.0499999999999999E-2</v>
      </c>
      <c r="AF5" s="4" t="s">
        <v>467</v>
      </c>
      <c r="AG5" s="4" t="s">
        <v>468</v>
      </c>
      <c r="AH5" s="4">
        <v>1</v>
      </c>
      <c r="AI5" s="4" t="s">
        <v>394</v>
      </c>
      <c r="AJ5" s="4">
        <v>15</v>
      </c>
      <c r="AK5" s="4">
        <v>21</v>
      </c>
      <c r="AL5" s="61">
        <v>0.23719999999999999</v>
      </c>
      <c r="AM5" s="62">
        <v>0.2505</v>
      </c>
      <c r="AN5">
        <v>-1.3299999999999999E-2</v>
      </c>
      <c r="AO5" t="s">
        <v>467</v>
      </c>
      <c r="AP5" t="s">
        <v>468</v>
      </c>
    </row>
    <row r="6" spans="1:42" x14ac:dyDescent="0.25">
      <c r="B6" s="56">
        <v>2</v>
      </c>
      <c r="C6">
        <v>1</v>
      </c>
      <c r="G6" s="4">
        <v>1</v>
      </c>
      <c r="H6" s="4" t="s">
        <v>393</v>
      </c>
      <c r="I6" s="4">
        <v>3</v>
      </c>
      <c r="J6" s="4">
        <v>21</v>
      </c>
      <c r="K6" s="11">
        <v>0.46250000000000002</v>
      </c>
      <c r="L6" s="11">
        <v>0.66259999999999997</v>
      </c>
      <c r="M6" s="4">
        <v>-0.2</v>
      </c>
      <c r="N6" s="4" t="s">
        <v>467</v>
      </c>
      <c r="O6" s="4" t="s">
        <v>468</v>
      </c>
      <c r="P6" s="4">
        <v>1</v>
      </c>
      <c r="Q6" s="4" t="s">
        <v>393</v>
      </c>
      <c r="R6" s="4">
        <v>3</v>
      </c>
      <c r="S6" s="4">
        <v>21</v>
      </c>
      <c r="T6" s="61">
        <v>0.46210000000000001</v>
      </c>
      <c r="U6" s="62">
        <v>0.66390000000000005</v>
      </c>
      <c r="V6">
        <v>-0.20180000000000001</v>
      </c>
      <c r="W6" t="s">
        <v>467</v>
      </c>
      <c r="X6" t="s">
        <v>468</v>
      </c>
      <c r="Y6" s="4">
        <v>1</v>
      </c>
      <c r="Z6" s="4" t="s">
        <v>393</v>
      </c>
      <c r="AA6" s="4">
        <v>20</v>
      </c>
      <c r="AB6" s="4">
        <v>21</v>
      </c>
      <c r="AC6" s="11">
        <v>0.45600000000000002</v>
      </c>
      <c r="AD6" s="11">
        <v>0.63619999999999999</v>
      </c>
      <c r="AE6" s="4">
        <v>-0.1802</v>
      </c>
      <c r="AF6" s="4" t="s">
        <v>467</v>
      </c>
      <c r="AG6" s="4" t="s">
        <v>468</v>
      </c>
      <c r="AH6" s="4">
        <v>1</v>
      </c>
      <c r="AI6" s="4" t="s">
        <v>393</v>
      </c>
      <c r="AJ6" s="4">
        <v>20</v>
      </c>
      <c r="AK6" s="4">
        <v>21</v>
      </c>
      <c r="AL6" s="61">
        <v>0.4345</v>
      </c>
      <c r="AM6" s="62">
        <v>0.56879999999999997</v>
      </c>
      <c r="AN6">
        <v>-0.13420000000000001</v>
      </c>
      <c r="AO6" t="s">
        <v>467</v>
      </c>
      <c r="AP6" t="s">
        <v>468</v>
      </c>
    </row>
    <row r="7" spans="1:42" x14ac:dyDescent="0.25">
      <c r="B7" s="56">
        <v>2</v>
      </c>
      <c r="C7">
        <v>2</v>
      </c>
      <c r="G7" s="4">
        <v>2</v>
      </c>
      <c r="H7" s="4" t="s">
        <v>469</v>
      </c>
      <c r="I7" s="4">
        <v>10</v>
      </c>
      <c r="J7" s="4">
        <v>22</v>
      </c>
      <c r="K7" s="11">
        <v>6.0100000000000001E-2</v>
      </c>
      <c r="L7" s="11">
        <v>0.2301</v>
      </c>
      <c r="M7" s="4">
        <v>-0.17</v>
      </c>
      <c r="N7" s="4" t="s">
        <v>467</v>
      </c>
      <c r="O7" s="4" t="s">
        <v>468</v>
      </c>
      <c r="P7" s="4">
        <v>2</v>
      </c>
      <c r="Q7" s="4" t="s">
        <v>469</v>
      </c>
      <c r="R7" s="4">
        <v>20</v>
      </c>
      <c r="S7" s="4">
        <v>22</v>
      </c>
      <c r="T7" s="61">
        <v>0.1174</v>
      </c>
      <c r="U7" s="62">
        <v>0.12909999999999999</v>
      </c>
      <c r="V7">
        <v>-1.17E-2</v>
      </c>
      <c r="W7" t="s">
        <v>467</v>
      </c>
      <c r="X7" t="s">
        <v>468</v>
      </c>
      <c r="Y7" s="4">
        <v>2</v>
      </c>
      <c r="Z7" s="4" t="s">
        <v>469</v>
      </c>
      <c r="AA7" s="4">
        <v>20</v>
      </c>
      <c r="AB7" s="4">
        <v>22</v>
      </c>
      <c r="AC7" s="11">
        <v>4.2299999999999997E-2</v>
      </c>
      <c r="AD7" s="11">
        <v>-1.4999999999999999E-2</v>
      </c>
      <c r="AE7" s="4">
        <v>5.7299999999999997E-2</v>
      </c>
      <c r="AF7" s="4" t="s">
        <v>465</v>
      </c>
      <c r="AG7" s="4" t="s">
        <v>466</v>
      </c>
      <c r="AH7" s="4">
        <v>2</v>
      </c>
      <c r="AI7" s="4" t="s">
        <v>469</v>
      </c>
      <c r="AJ7" s="4">
        <v>20</v>
      </c>
      <c r="AK7" s="4">
        <v>22</v>
      </c>
      <c r="AL7" s="61">
        <v>3.5000000000000001E-3</v>
      </c>
      <c r="AM7" s="62">
        <v>-0.03</v>
      </c>
      <c r="AN7">
        <v>3.3500000000000002E-2</v>
      </c>
      <c r="AO7" t="s">
        <v>467</v>
      </c>
      <c r="AP7" t="s">
        <v>468</v>
      </c>
    </row>
    <row r="8" spans="1:42" x14ac:dyDescent="0.25">
      <c r="B8" s="56">
        <v>3</v>
      </c>
      <c r="C8">
        <v>0</v>
      </c>
      <c r="G8" s="4">
        <v>2</v>
      </c>
      <c r="H8" s="4" t="s">
        <v>394</v>
      </c>
      <c r="I8" s="4">
        <v>20</v>
      </c>
      <c r="J8" s="4">
        <v>22</v>
      </c>
      <c r="K8" s="11">
        <v>0.1492</v>
      </c>
      <c r="L8" s="11">
        <v>0.25059999999999999</v>
      </c>
      <c r="M8" s="4">
        <v>-0.1014</v>
      </c>
      <c r="N8" s="4" t="s">
        <v>467</v>
      </c>
      <c r="O8" s="4" t="s">
        <v>468</v>
      </c>
      <c r="P8" s="4">
        <v>2</v>
      </c>
      <c r="Q8" s="4" t="s">
        <v>394</v>
      </c>
      <c r="R8" s="4">
        <v>20</v>
      </c>
      <c r="S8" s="4">
        <v>22</v>
      </c>
      <c r="T8" s="61">
        <v>0.15740000000000001</v>
      </c>
      <c r="U8" s="62">
        <v>0.19270000000000001</v>
      </c>
      <c r="V8">
        <v>-3.5299999999999998E-2</v>
      </c>
      <c r="W8" t="s">
        <v>467</v>
      </c>
      <c r="X8" t="s">
        <v>468</v>
      </c>
      <c r="Y8" s="4">
        <v>2</v>
      </c>
      <c r="Z8" s="4" t="s">
        <v>394</v>
      </c>
      <c r="AA8" s="4">
        <v>20</v>
      </c>
      <c r="AB8" s="4">
        <v>22</v>
      </c>
      <c r="AC8" s="11">
        <v>0.1192</v>
      </c>
      <c r="AD8" s="11">
        <v>0.1201</v>
      </c>
      <c r="AE8" s="4">
        <v>-8.9999999999999998E-4</v>
      </c>
      <c r="AF8" s="4" t="s">
        <v>467</v>
      </c>
      <c r="AG8" s="4" t="s">
        <v>468</v>
      </c>
      <c r="AH8" s="4">
        <v>2</v>
      </c>
      <c r="AI8" s="4" t="s">
        <v>394</v>
      </c>
      <c r="AJ8" s="4">
        <v>20</v>
      </c>
      <c r="AK8" s="4">
        <v>22</v>
      </c>
      <c r="AL8" s="61">
        <v>0.1011</v>
      </c>
      <c r="AM8" s="62">
        <v>0.1002</v>
      </c>
      <c r="AN8">
        <v>8.9999999999999998E-4</v>
      </c>
      <c r="AO8" t="s">
        <v>467</v>
      </c>
      <c r="AP8" t="s">
        <v>468</v>
      </c>
    </row>
    <row r="9" spans="1:42" x14ac:dyDescent="0.25">
      <c r="B9" s="56">
        <v>3</v>
      </c>
      <c r="C9">
        <v>1</v>
      </c>
      <c r="G9" s="4">
        <v>2</v>
      </c>
      <c r="H9" s="4" t="s">
        <v>393</v>
      </c>
      <c r="I9" s="4">
        <v>20</v>
      </c>
      <c r="J9" s="4">
        <v>22</v>
      </c>
      <c r="K9" s="11">
        <v>0.1522</v>
      </c>
      <c r="L9" s="11">
        <v>0.2059</v>
      </c>
      <c r="M9" s="4">
        <v>-5.3699999999999998E-2</v>
      </c>
      <c r="N9" s="4" t="s">
        <v>467</v>
      </c>
      <c r="O9" s="4" t="s">
        <v>468</v>
      </c>
      <c r="P9" s="4">
        <v>2</v>
      </c>
      <c r="Q9" s="4" t="s">
        <v>393</v>
      </c>
      <c r="R9" s="4">
        <v>20</v>
      </c>
      <c r="S9" s="4">
        <v>22</v>
      </c>
      <c r="T9" s="61">
        <v>0.16259999999999999</v>
      </c>
      <c r="U9" s="62">
        <v>0.16300000000000001</v>
      </c>
      <c r="V9">
        <v>-4.0000000000000002E-4</v>
      </c>
      <c r="W9" t="s">
        <v>467</v>
      </c>
      <c r="X9" t="s">
        <v>468</v>
      </c>
      <c r="Y9" s="4">
        <v>2</v>
      </c>
      <c r="Z9" s="4" t="s">
        <v>393</v>
      </c>
      <c r="AA9" s="4">
        <v>20</v>
      </c>
      <c r="AB9" s="4">
        <v>22</v>
      </c>
      <c r="AC9" s="11">
        <v>0.127</v>
      </c>
      <c r="AD9" s="11">
        <v>0.1174</v>
      </c>
      <c r="AE9" s="4">
        <v>9.5999999999999992E-3</v>
      </c>
      <c r="AF9" s="4" t="s">
        <v>467</v>
      </c>
      <c r="AG9" s="4" t="s">
        <v>468</v>
      </c>
      <c r="AH9" s="4">
        <v>2</v>
      </c>
      <c r="AI9" s="4" t="s">
        <v>393</v>
      </c>
      <c r="AJ9" s="4">
        <v>20</v>
      </c>
      <c r="AK9" s="4">
        <v>22</v>
      </c>
      <c r="AL9" s="61">
        <v>0.10829999999999999</v>
      </c>
      <c r="AM9" s="62">
        <v>0.1023</v>
      </c>
      <c r="AN9">
        <v>5.8999999999999999E-3</v>
      </c>
      <c r="AO9" t="s">
        <v>467</v>
      </c>
      <c r="AP9" t="s">
        <v>468</v>
      </c>
    </row>
    <row r="10" spans="1:42" x14ac:dyDescent="0.25">
      <c r="B10" s="56">
        <v>3</v>
      </c>
      <c r="C10">
        <v>2</v>
      </c>
      <c r="G10" s="4">
        <v>3</v>
      </c>
      <c r="H10" s="4" t="s">
        <v>469</v>
      </c>
      <c r="I10" s="4">
        <v>20</v>
      </c>
      <c r="J10" s="4">
        <v>21</v>
      </c>
      <c r="K10" s="11">
        <v>0.4521</v>
      </c>
      <c r="L10" s="11">
        <v>0.45689999999999997</v>
      </c>
      <c r="M10" s="4">
        <v>-4.7999999999999996E-3</v>
      </c>
      <c r="N10" s="4" t="s">
        <v>467</v>
      </c>
      <c r="O10" s="4" t="s">
        <v>468</v>
      </c>
      <c r="P10" s="4">
        <v>3</v>
      </c>
      <c r="Q10" s="4" t="s">
        <v>469</v>
      </c>
      <c r="R10" s="4">
        <v>20</v>
      </c>
      <c r="S10" s="4">
        <v>21</v>
      </c>
      <c r="T10" s="61">
        <v>0.45</v>
      </c>
      <c r="U10" s="62">
        <v>0.46739999999999998</v>
      </c>
      <c r="V10">
        <v>-1.7399999999999999E-2</v>
      </c>
      <c r="W10" t="s">
        <v>467</v>
      </c>
      <c r="X10" t="s">
        <v>468</v>
      </c>
      <c r="Y10" s="4">
        <v>3</v>
      </c>
      <c r="Z10" s="4" t="s">
        <v>469</v>
      </c>
      <c r="AA10" s="4">
        <v>20</v>
      </c>
      <c r="AB10" s="4">
        <v>21</v>
      </c>
      <c r="AC10" s="11">
        <v>0.43940000000000001</v>
      </c>
      <c r="AD10" s="11">
        <v>0.44579999999999997</v>
      </c>
      <c r="AE10" s="4">
        <v>-6.4999999999999997E-3</v>
      </c>
      <c r="AF10" s="4" t="s">
        <v>467</v>
      </c>
      <c r="AG10" s="4" t="s">
        <v>468</v>
      </c>
      <c r="AH10" s="4">
        <v>3</v>
      </c>
      <c r="AI10" s="4" t="s">
        <v>469</v>
      </c>
      <c r="AJ10" s="4">
        <v>20</v>
      </c>
      <c r="AK10" s="4">
        <v>21</v>
      </c>
      <c r="AL10" s="61">
        <v>0.41120000000000001</v>
      </c>
      <c r="AM10" s="62">
        <v>0.39779999999999999</v>
      </c>
      <c r="AN10">
        <v>1.34E-2</v>
      </c>
      <c r="AO10" t="s">
        <v>467</v>
      </c>
      <c r="AP10" t="s">
        <v>468</v>
      </c>
    </row>
    <row r="11" spans="1:42" x14ac:dyDescent="0.25">
      <c r="B11" s="56">
        <v>4</v>
      </c>
      <c r="C11">
        <v>0</v>
      </c>
      <c r="G11" s="4">
        <v>3</v>
      </c>
      <c r="H11" s="4" t="s">
        <v>394</v>
      </c>
      <c r="I11" s="4">
        <v>15</v>
      </c>
      <c r="J11" s="4">
        <v>21</v>
      </c>
      <c r="K11" s="11">
        <v>0.3296</v>
      </c>
      <c r="L11" s="11">
        <v>0.46379999999999999</v>
      </c>
      <c r="M11" s="4">
        <v>-0.1343</v>
      </c>
      <c r="N11" s="4" t="s">
        <v>467</v>
      </c>
      <c r="O11" s="4" t="s">
        <v>468</v>
      </c>
      <c r="P11" s="4">
        <v>3</v>
      </c>
      <c r="Q11" s="4" t="s">
        <v>394</v>
      </c>
      <c r="R11" s="4">
        <v>15</v>
      </c>
      <c r="S11" s="4">
        <v>21</v>
      </c>
      <c r="T11" s="61">
        <v>0.3533</v>
      </c>
      <c r="U11" s="62">
        <v>0.41220000000000001</v>
      </c>
      <c r="V11">
        <v>-5.8900000000000001E-2</v>
      </c>
      <c r="W11" t="s">
        <v>467</v>
      </c>
      <c r="X11" t="s">
        <v>468</v>
      </c>
      <c r="Y11" s="4">
        <v>3</v>
      </c>
      <c r="Z11" s="4" t="s">
        <v>394</v>
      </c>
      <c r="AA11" s="4">
        <v>20</v>
      </c>
      <c r="AB11" s="4">
        <v>21</v>
      </c>
      <c r="AC11" s="11">
        <v>0.34510000000000002</v>
      </c>
      <c r="AD11" s="11">
        <v>0.33650000000000002</v>
      </c>
      <c r="AE11" s="4">
        <v>8.6E-3</v>
      </c>
      <c r="AF11" s="4" t="s">
        <v>467</v>
      </c>
      <c r="AG11" s="4" t="s">
        <v>468</v>
      </c>
      <c r="AH11" s="4">
        <v>3</v>
      </c>
      <c r="AI11" s="4" t="s">
        <v>394</v>
      </c>
      <c r="AJ11" s="4">
        <v>20</v>
      </c>
      <c r="AK11" s="4">
        <v>21</v>
      </c>
      <c r="AL11" s="61">
        <v>0.32790000000000002</v>
      </c>
      <c r="AM11" s="62">
        <v>0.30059999999999998</v>
      </c>
      <c r="AN11">
        <v>2.7300000000000001E-2</v>
      </c>
      <c r="AO11" t="s">
        <v>467</v>
      </c>
      <c r="AP11" t="s">
        <v>468</v>
      </c>
    </row>
    <row r="12" spans="1:42" x14ac:dyDescent="0.25">
      <c r="B12" s="56">
        <v>4</v>
      </c>
      <c r="C12">
        <v>1</v>
      </c>
      <c r="G12" s="4">
        <v>3</v>
      </c>
      <c r="H12" s="4" t="s">
        <v>393</v>
      </c>
      <c r="I12" s="4">
        <v>20</v>
      </c>
      <c r="J12" s="4">
        <v>21</v>
      </c>
      <c r="K12" s="11">
        <v>0.42520000000000002</v>
      </c>
      <c r="L12" s="11">
        <v>0.32340000000000002</v>
      </c>
      <c r="M12" s="4">
        <v>0.1018</v>
      </c>
      <c r="N12" s="4" t="s">
        <v>465</v>
      </c>
      <c r="O12" s="4" t="s">
        <v>466</v>
      </c>
      <c r="P12" s="4">
        <v>3</v>
      </c>
      <c r="Q12" s="4" t="s">
        <v>393</v>
      </c>
      <c r="R12" s="4">
        <v>20</v>
      </c>
      <c r="S12" s="4">
        <v>21</v>
      </c>
      <c r="T12" s="61">
        <v>0.41670000000000001</v>
      </c>
      <c r="U12" s="62">
        <v>0.33360000000000001</v>
      </c>
      <c r="V12">
        <v>8.3099999999999993E-2</v>
      </c>
      <c r="W12" t="s">
        <v>465</v>
      </c>
      <c r="X12" t="s">
        <v>466</v>
      </c>
      <c r="Y12" s="4">
        <v>3</v>
      </c>
      <c r="Z12" s="4" t="s">
        <v>393</v>
      </c>
      <c r="AA12" s="4">
        <v>20</v>
      </c>
      <c r="AB12" s="4">
        <v>21</v>
      </c>
      <c r="AC12" s="11">
        <v>0.42949999999999999</v>
      </c>
      <c r="AD12" s="11">
        <v>0.37580000000000002</v>
      </c>
      <c r="AE12" s="4">
        <v>5.3600000000000002E-2</v>
      </c>
      <c r="AF12" s="4" t="s">
        <v>465</v>
      </c>
      <c r="AG12" s="4" t="s">
        <v>466</v>
      </c>
      <c r="AH12" s="4">
        <v>3</v>
      </c>
      <c r="AI12" s="4" t="s">
        <v>393</v>
      </c>
      <c r="AJ12" s="4">
        <v>20</v>
      </c>
      <c r="AK12" s="4">
        <v>21</v>
      </c>
      <c r="AL12" s="61">
        <v>0.41889999999999999</v>
      </c>
      <c r="AM12" s="62">
        <v>0.35549999999999998</v>
      </c>
      <c r="AN12">
        <v>6.3399999999999998E-2</v>
      </c>
      <c r="AO12" t="s">
        <v>465</v>
      </c>
      <c r="AP12" t="s">
        <v>466</v>
      </c>
    </row>
    <row r="13" spans="1:42" x14ac:dyDescent="0.25">
      <c r="B13" s="56">
        <v>4</v>
      </c>
      <c r="C13">
        <v>2</v>
      </c>
      <c r="G13" s="4">
        <v>4</v>
      </c>
      <c r="H13" s="4" t="s">
        <v>469</v>
      </c>
      <c r="I13" s="4">
        <v>10</v>
      </c>
      <c r="J13" s="4">
        <v>22</v>
      </c>
      <c r="K13" s="11">
        <v>4.4699999999999997E-2</v>
      </c>
      <c r="L13" s="11">
        <v>0.22550000000000001</v>
      </c>
      <c r="M13" s="4">
        <v>-0.18079999999999999</v>
      </c>
      <c r="N13" s="4" t="s">
        <v>467</v>
      </c>
      <c r="O13" s="4" t="s">
        <v>468</v>
      </c>
      <c r="P13" s="4">
        <v>4</v>
      </c>
      <c r="Q13" s="4" t="s">
        <v>469</v>
      </c>
      <c r="R13" s="4">
        <v>20</v>
      </c>
      <c r="S13" s="4">
        <v>22</v>
      </c>
      <c r="T13" s="61">
        <v>0.10589999999999999</v>
      </c>
      <c r="U13" s="62">
        <v>0.1236</v>
      </c>
      <c r="V13">
        <v>-1.7600000000000001E-2</v>
      </c>
      <c r="W13" t="s">
        <v>467</v>
      </c>
      <c r="X13" t="s">
        <v>468</v>
      </c>
      <c r="Y13" s="4">
        <v>4</v>
      </c>
      <c r="Z13" s="4" t="s">
        <v>469</v>
      </c>
      <c r="AA13" s="4">
        <v>20</v>
      </c>
      <c r="AB13" s="4">
        <v>22</v>
      </c>
      <c r="AC13" s="11">
        <v>3.7600000000000001E-2</v>
      </c>
      <c r="AD13" s="11">
        <v>-1.8599999999999998E-2</v>
      </c>
      <c r="AE13" s="4">
        <v>5.62E-2</v>
      </c>
      <c r="AF13" s="4" t="s">
        <v>465</v>
      </c>
      <c r="AG13" s="4" t="s">
        <v>466</v>
      </c>
      <c r="AH13" s="4">
        <v>4</v>
      </c>
      <c r="AI13" s="4" t="s">
        <v>469</v>
      </c>
      <c r="AJ13" s="4">
        <v>20</v>
      </c>
      <c r="AK13" s="4">
        <v>22</v>
      </c>
      <c r="AL13" s="61">
        <v>0</v>
      </c>
      <c r="AM13" s="62">
        <v>-3.3099999999999997E-2</v>
      </c>
      <c r="AN13">
        <v>3.3099999999999997E-2</v>
      </c>
      <c r="AO13" t="s">
        <v>467</v>
      </c>
      <c r="AP13" t="s">
        <v>468</v>
      </c>
    </row>
    <row r="14" spans="1:42" x14ac:dyDescent="0.25">
      <c r="B14" s="56">
        <v>5</v>
      </c>
      <c r="C14">
        <v>0</v>
      </c>
      <c r="G14" s="4">
        <v>4</v>
      </c>
      <c r="H14" s="4" t="s">
        <v>394</v>
      </c>
      <c r="I14" s="4">
        <v>15</v>
      </c>
      <c r="J14" s="4">
        <v>22</v>
      </c>
      <c r="K14" s="11">
        <v>0.4083</v>
      </c>
      <c r="L14" s="11">
        <v>0.22450000000000001</v>
      </c>
      <c r="M14" s="4">
        <v>0.18379999999999999</v>
      </c>
      <c r="N14" s="4" t="s">
        <v>465</v>
      </c>
      <c r="O14" s="4" t="s">
        <v>471</v>
      </c>
      <c r="P14" s="4">
        <v>4</v>
      </c>
      <c r="Q14" s="4" t="s">
        <v>394</v>
      </c>
      <c r="R14" s="4">
        <v>20</v>
      </c>
      <c r="S14" s="4">
        <v>22</v>
      </c>
      <c r="T14" s="61">
        <v>0.33979999999999999</v>
      </c>
      <c r="U14" s="62">
        <v>0.15029999999999999</v>
      </c>
      <c r="V14">
        <v>0.1895</v>
      </c>
      <c r="W14" t="s">
        <v>465</v>
      </c>
      <c r="X14" t="s">
        <v>471</v>
      </c>
      <c r="Y14" s="4">
        <v>4</v>
      </c>
      <c r="Z14" s="4" t="s">
        <v>394</v>
      </c>
      <c r="AA14" s="4">
        <v>20</v>
      </c>
      <c r="AB14" s="4">
        <v>22</v>
      </c>
      <c r="AC14" s="11">
        <v>0.1595</v>
      </c>
      <c r="AD14" s="11">
        <v>6.2899999999999998E-2</v>
      </c>
      <c r="AE14" s="4">
        <v>9.6500000000000002E-2</v>
      </c>
      <c r="AF14" s="4" t="s">
        <v>465</v>
      </c>
      <c r="AG14" s="4" t="s">
        <v>466</v>
      </c>
      <c r="AH14" s="4">
        <v>4</v>
      </c>
      <c r="AI14" s="4" t="s">
        <v>394</v>
      </c>
      <c r="AJ14" s="4">
        <v>20</v>
      </c>
      <c r="AK14" s="4">
        <v>22</v>
      </c>
      <c r="AL14" s="61">
        <v>0.1089</v>
      </c>
      <c r="AM14" s="62">
        <v>5.0799999999999998E-2</v>
      </c>
      <c r="AN14">
        <v>5.8099999999999999E-2</v>
      </c>
      <c r="AO14" t="s">
        <v>465</v>
      </c>
      <c r="AP14" t="s">
        <v>466</v>
      </c>
    </row>
    <row r="15" spans="1:42" x14ac:dyDescent="0.25">
      <c r="B15" s="56">
        <v>5</v>
      </c>
      <c r="C15">
        <v>1</v>
      </c>
      <c r="G15" s="4">
        <v>4</v>
      </c>
      <c r="H15" s="4" t="s">
        <v>393</v>
      </c>
      <c r="I15" s="4">
        <v>10</v>
      </c>
      <c r="J15" s="4">
        <v>22</v>
      </c>
      <c r="K15" s="11">
        <v>0.3306</v>
      </c>
      <c r="L15" s="11">
        <v>0.3695</v>
      </c>
      <c r="M15" s="4">
        <v>-3.8899999999999997E-2</v>
      </c>
      <c r="N15" s="4" t="s">
        <v>467</v>
      </c>
      <c r="O15" s="4" t="s">
        <v>468</v>
      </c>
      <c r="P15" s="4">
        <v>4</v>
      </c>
      <c r="Q15" s="4" t="s">
        <v>393</v>
      </c>
      <c r="R15" s="4">
        <v>20</v>
      </c>
      <c r="S15" s="4">
        <v>22</v>
      </c>
      <c r="T15" s="61">
        <v>0.31790000000000002</v>
      </c>
      <c r="U15" s="62">
        <v>0.23280000000000001</v>
      </c>
      <c r="V15">
        <v>8.5099999999999995E-2</v>
      </c>
      <c r="W15" t="s">
        <v>465</v>
      </c>
      <c r="X15" t="s">
        <v>466</v>
      </c>
      <c r="Y15" s="4">
        <v>4</v>
      </c>
      <c r="Z15" s="4" t="s">
        <v>393</v>
      </c>
      <c r="AA15" s="4">
        <v>20</v>
      </c>
      <c r="AB15" s="4">
        <v>22</v>
      </c>
      <c r="AC15" s="11">
        <v>0.15540000000000001</v>
      </c>
      <c r="AD15" s="11">
        <v>5.9400000000000001E-2</v>
      </c>
      <c r="AE15" s="4">
        <v>9.6000000000000002E-2</v>
      </c>
      <c r="AF15" s="4" t="s">
        <v>465</v>
      </c>
      <c r="AG15" s="4" t="s">
        <v>466</v>
      </c>
      <c r="AH15" s="4">
        <v>4</v>
      </c>
      <c r="AI15" s="4" t="s">
        <v>393</v>
      </c>
      <c r="AJ15" s="4">
        <v>20</v>
      </c>
      <c r="AK15" s="4">
        <v>22</v>
      </c>
      <c r="AL15" s="61">
        <v>9.8500000000000004E-2</v>
      </c>
      <c r="AM15" s="62">
        <v>3.61E-2</v>
      </c>
      <c r="AN15">
        <v>6.2399999999999997E-2</v>
      </c>
      <c r="AO15" t="s">
        <v>465</v>
      </c>
      <c r="AP15" t="s">
        <v>466</v>
      </c>
    </row>
    <row r="16" spans="1:42" x14ac:dyDescent="0.25">
      <c r="B16" s="56">
        <v>5</v>
      </c>
      <c r="C16">
        <v>2</v>
      </c>
      <c r="G16" s="4">
        <v>5</v>
      </c>
      <c r="H16" s="4" t="s">
        <v>470</v>
      </c>
      <c r="I16" s="4">
        <v>4</v>
      </c>
      <c r="J16" s="4">
        <v>18</v>
      </c>
      <c r="K16" s="11">
        <v>0.373</v>
      </c>
      <c r="L16" s="11">
        <v>0.29409999999999997</v>
      </c>
      <c r="M16" s="4">
        <v>7.8899999999999998E-2</v>
      </c>
      <c r="N16" s="4" t="s">
        <v>465</v>
      </c>
      <c r="O16" s="4" t="s">
        <v>466</v>
      </c>
      <c r="P16" s="4">
        <v>5</v>
      </c>
      <c r="Q16" s="4" t="s">
        <v>470</v>
      </c>
      <c r="R16" s="4">
        <v>4</v>
      </c>
      <c r="S16" s="4">
        <v>18</v>
      </c>
      <c r="T16" s="61">
        <v>0.37</v>
      </c>
      <c r="U16" s="62">
        <v>0.2848</v>
      </c>
      <c r="V16">
        <v>8.5199999999999998E-2</v>
      </c>
      <c r="W16" t="s">
        <v>465</v>
      </c>
      <c r="X16" t="s">
        <v>466</v>
      </c>
      <c r="Y16" s="4">
        <v>5</v>
      </c>
      <c r="Z16" s="4" t="s">
        <v>470</v>
      </c>
      <c r="AA16" s="4">
        <v>15</v>
      </c>
      <c r="AB16" s="4">
        <v>18</v>
      </c>
      <c r="AC16" s="11">
        <v>0.3407</v>
      </c>
      <c r="AD16" s="11">
        <v>0.22059999999999999</v>
      </c>
      <c r="AE16" s="4">
        <v>0.12</v>
      </c>
      <c r="AF16" s="4" t="s">
        <v>465</v>
      </c>
      <c r="AG16" s="4" t="s">
        <v>466</v>
      </c>
      <c r="AH16" s="4">
        <v>5</v>
      </c>
      <c r="AI16" s="4" t="s">
        <v>470</v>
      </c>
      <c r="AJ16" s="4">
        <v>15</v>
      </c>
      <c r="AK16" s="4">
        <v>18</v>
      </c>
      <c r="AL16" s="61">
        <v>0.2949</v>
      </c>
      <c r="AM16" s="59">
        <v>0.14849999999999999</v>
      </c>
      <c r="AN16">
        <v>0.1464</v>
      </c>
      <c r="AO16" t="s">
        <v>465</v>
      </c>
      <c r="AP16" t="s">
        <v>466</v>
      </c>
    </row>
    <row r="17" spans="2:42" x14ac:dyDescent="0.25">
      <c r="B17" s="56">
        <v>6</v>
      </c>
      <c r="C17">
        <v>0</v>
      </c>
      <c r="G17" s="4">
        <v>5</v>
      </c>
      <c r="H17" s="4" t="s">
        <v>464</v>
      </c>
      <c r="I17" s="4">
        <v>15</v>
      </c>
      <c r="J17" s="4">
        <v>18</v>
      </c>
      <c r="K17" s="11">
        <v>0.57679999999999998</v>
      </c>
      <c r="L17" s="11">
        <v>0.51039999999999996</v>
      </c>
      <c r="M17" s="4">
        <v>6.6400000000000001E-2</v>
      </c>
      <c r="N17" s="4" t="s">
        <v>465</v>
      </c>
      <c r="O17" s="4" t="s">
        <v>466</v>
      </c>
      <c r="P17" s="4">
        <v>5</v>
      </c>
      <c r="Q17" s="4" t="s">
        <v>464</v>
      </c>
      <c r="R17" s="4">
        <v>15</v>
      </c>
      <c r="S17" s="4">
        <v>18</v>
      </c>
      <c r="T17" s="61">
        <v>0.57310000000000005</v>
      </c>
      <c r="U17" s="62">
        <v>0.49830000000000002</v>
      </c>
      <c r="V17">
        <v>7.4800000000000005E-2</v>
      </c>
      <c r="W17" t="s">
        <v>465</v>
      </c>
      <c r="X17" t="s">
        <v>466</v>
      </c>
      <c r="Y17" s="4">
        <v>5</v>
      </c>
      <c r="Z17" s="4" t="s">
        <v>464</v>
      </c>
      <c r="AA17" s="4">
        <v>15</v>
      </c>
      <c r="AB17" s="4">
        <v>18</v>
      </c>
      <c r="AC17" s="11">
        <v>0.49709999999999999</v>
      </c>
      <c r="AD17" s="11">
        <v>0.37809999999999999</v>
      </c>
      <c r="AE17" s="4">
        <v>0.11899999999999999</v>
      </c>
      <c r="AF17" s="4" t="s">
        <v>465</v>
      </c>
      <c r="AG17" s="4" t="s">
        <v>466</v>
      </c>
      <c r="AH17" s="4">
        <v>5</v>
      </c>
      <c r="AI17" s="4" t="s">
        <v>464</v>
      </c>
      <c r="AJ17" s="4">
        <v>15</v>
      </c>
      <c r="AK17" s="4">
        <v>18</v>
      </c>
      <c r="AL17" s="61">
        <v>0.43530000000000002</v>
      </c>
      <c r="AM17" s="59">
        <v>0.28439999999999999</v>
      </c>
      <c r="AN17">
        <v>0.15079999999999999</v>
      </c>
      <c r="AO17" t="s">
        <v>465</v>
      </c>
      <c r="AP17" t="s">
        <v>471</v>
      </c>
    </row>
    <row r="18" spans="2:42" x14ac:dyDescent="0.25">
      <c r="B18" s="56">
        <v>6</v>
      </c>
      <c r="C18">
        <v>1</v>
      </c>
      <c r="G18" s="4">
        <v>5</v>
      </c>
      <c r="H18" s="4" t="s">
        <v>472</v>
      </c>
      <c r="I18" s="4">
        <v>4</v>
      </c>
      <c r="J18" s="4">
        <v>18</v>
      </c>
      <c r="K18" s="11">
        <v>-0.31119999999999998</v>
      </c>
      <c r="L18" s="11">
        <v>-0.41349999999999998</v>
      </c>
      <c r="M18" s="4">
        <v>0.1023</v>
      </c>
      <c r="N18" s="4" t="s">
        <v>465</v>
      </c>
      <c r="O18" s="4" t="s">
        <v>466</v>
      </c>
      <c r="P18" s="4">
        <v>5</v>
      </c>
      <c r="Q18" s="4" t="s">
        <v>472</v>
      </c>
      <c r="R18" s="4">
        <v>4</v>
      </c>
      <c r="S18" s="4">
        <v>18</v>
      </c>
      <c r="T18" s="61">
        <v>-0.31859999999999999</v>
      </c>
      <c r="U18" s="62">
        <v>-0.45710000000000001</v>
      </c>
      <c r="V18">
        <v>0.13850000000000001</v>
      </c>
      <c r="W18" t="s">
        <v>465</v>
      </c>
      <c r="X18" t="s">
        <v>466</v>
      </c>
      <c r="Y18" s="4">
        <v>5</v>
      </c>
      <c r="Z18" s="4" t="s">
        <v>472</v>
      </c>
      <c r="AA18" s="4">
        <v>4</v>
      </c>
      <c r="AB18" s="4">
        <v>18</v>
      </c>
      <c r="AC18" s="11">
        <v>-0.27810000000000001</v>
      </c>
      <c r="AD18" s="11">
        <v>-0.41399999999999998</v>
      </c>
      <c r="AE18" s="4">
        <v>0.13589999999999999</v>
      </c>
      <c r="AF18" s="4" t="s">
        <v>465</v>
      </c>
      <c r="AG18" s="4" t="s">
        <v>466</v>
      </c>
      <c r="AH18" s="4">
        <v>5</v>
      </c>
      <c r="AI18" s="4" t="s">
        <v>472</v>
      </c>
      <c r="AJ18" s="4">
        <v>4</v>
      </c>
      <c r="AK18" s="4">
        <v>18</v>
      </c>
      <c r="AL18" s="61">
        <v>-0.23830000000000001</v>
      </c>
      <c r="AM18" s="59">
        <v>-0.35020000000000001</v>
      </c>
      <c r="AN18">
        <v>0.1119</v>
      </c>
      <c r="AO18" t="s">
        <v>465</v>
      </c>
      <c r="AP18" t="s">
        <v>466</v>
      </c>
    </row>
    <row r="19" spans="2:42" x14ac:dyDescent="0.25">
      <c r="B19" s="56">
        <v>6</v>
      </c>
      <c r="C19">
        <v>2</v>
      </c>
      <c r="G19" s="4">
        <v>6</v>
      </c>
      <c r="H19" s="4" t="s">
        <v>470</v>
      </c>
      <c r="I19" s="4">
        <v>20</v>
      </c>
      <c r="J19" s="4">
        <v>21</v>
      </c>
      <c r="K19" s="11">
        <v>0.45050000000000001</v>
      </c>
      <c r="L19" s="11">
        <v>0.43390000000000001</v>
      </c>
      <c r="M19" s="4">
        <v>1.66E-2</v>
      </c>
      <c r="N19" s="4" t="s">
        <v>467</v>
      </c>
      <c r="O19" s="4" t="s">
        <v>468</v>
      </c>
      <c r="P19" s="4">
        <v>6</v>
      </c>
      <c r="Q19" s="4" t="s">
        <v>470</v>
      </c>
      <c r="R19" s="4">
        <v>20</v>
      </c>
      <c r="S19" s="4">
        <v>21</v>
      </c>
      <c r="T19" s="61">
        <v>0.44890000000000002</v>
      </c>
      <c r="U19" s="62">
        <v>0.44090000000000001</v>
      </c>
      <c r="V19">
        <v>8.0000000000000002E-3</v>
      </c>
      <c r="W19" t="s">
        <v>467</v>
      </c>
      <c r="X19" t="s">
        <v>468</v>
      </c>
      <c r="Y19" s="4">
        <v>6</v>
      </c>
      <c r="Z19" s="4" t="s">
        <v>470</v>
      </c>
      <c r="AA19" s="4">
        <v>20</v>
      </c>
      <c r="AB19" s="4">
        <v>21</v>
      </c>
      <c r="AC19" s="11">
        <v>0.42299999999999999</v>
      </c>
      <c r="AD19" s="11">
        <v>0.40649999999999997</v>
      </c>
      <c r="AE19" s="4">
        <v>1.6500000000000001E-2</v>
      </c>
      <c r="AF19" s="4" t="s">
        <v>467</v>
      </c>
      <c r="AG19" s="4" t="s">
        <v>468</v>
      </c>
      <c r="AH19" s="4">
        <v>6</v>
      </c>
      <c r="AI19" s="4" t="s">
        <v>470</v>
      </c>
      <c r="AJ19" s="4">
        <v>20</v>
      </c>
      <c r="AK19" s="4">
        <v>21</v>
      </c>
      <c r="AL19" s="61">
        <v>0.39279999999999998</v>
      </c>
      <c r="AM19" s="59">
        <v>0.35959999999999998</v>
      </c>
      <c r="AN19">
        <v>3.3099999999999997E-2</v>
      </c>
      <c r="AO19" t="s">
        <v>467</v>
      </c>
      <c r="AP19" t="s">
        <v>468</v>
      </c>
    </row>
    <row r="20" spans="2:42" x14ac:dyDescent="0.25">
      <c r="B20" s="56">
        <v>7</v>
      </c>
      <c r="C20">
        <v>0</v>
      </c>
      <c r="G20" s="4">
        <v>6</v>
      </c>
      <c r="H20" s="4" t="s">
        <v>464</v>
      </c>
      <c r="I20" s="4">
        <v>20</v>
      </c>
      <c r="J20" s="4">
        <v>21</v>
      </c>
      <c r="K20" s="11">
        <v>0.36880000000000002</v>
      </c>
      <c r="L20" s="11">
        <v>0.37609999999999999</v>
      </c>
      <c r="M20" s="4">
        <v>-7.3000000000000001E-3</v>
      </c>
      <c r="N20" s="4" t="s">
        <v>467</v>
      </c>
      <c r="O20" s="4" t="s">
        <v>468</v>
      </c>
      <c r="P20" s="4">
        <v>6</v>
      </c>
      <c r="Q20" s="4" t="s">
        <v>464</v>
      </c>
      <c r="R20" s="4">
        <v>20</v>
      </c>
      <c r="S20" s="4">
        <v>21</v>
      </c>
      <c r="T20" s="61">
        <v>0.37</v>
      </c>
      <c r="U20" s="62">
        <v>0.38950000000000001</v>
      </c>
      <c r="V20">
        <v>-1.95E-2</v>
      </c>
      <c r="W20" t="s">
        <v>467</v>
      </c>
      <c r="X20" t="s">
        <v>468</v>
      </c>
      <c r="Y20" s="4">
        <v>6</v>
      </c>
      <c r="Z20" s="4" t="s">
        <v>464</v>
      </c>
      <c r="AA20" s="4">
        <v>20</v>
      </c>
      <c r="AB20" s="4">
        <v>21</v>
      </c>
      <c r="AC20" s="11">
        <v>0.38040000000000002</v>
      </c>
      <c r="AD20" s="11">
        <v>0.39179999999999998</v>
      </c>
      <c r="AE20" s="4">
        <v>-1.14E-2</v>
      </c>
      <c r="AF20" s="4" t="s">
        <v>467</v>
      </c>
      <c r="AG20" s="4" t="s">
        <v>468</v>
      </c>
      <c r="AH20" s="4">
        <v>6</v>
      </c>
      <c r="AI20" s="4" t="s">
        <v>464</v>
      </c>
      <c r="AJ20" s="4">
        <v>20</v>
      </c>
      <c r="AK20" s="4">
        <v>21</v>
      </c>
      <c r="AL20" s="61">
        <v>0.36349999999999999</v>
      </c>
      <c r="AM20" s="59">
        <v>0.35589999999999999</v>
      </c>
      <c r="AN20">
        <v>7.6E-3</v>
      </c>
      <c r="AO20" t="s">
        <v>467</v>
      </c>
      <c r="AP20" t="s">
        <v>468</v>
      </c>
    </row>
    <row r="21" spans="2:42" x14ac:dyDescent="0.25">
      <c r="B21" s="56">
        <v>7</v>
      </c>
      <c r="C21">
        <v>1</v>
      </c>
      <c r="G21" s="4">
        <v>6</v>
      </c>
      <c r="H21" s="4" t="s">
        <v>472</v>
      </c>
      <c r="I21" s="4">
        <v>15</v>
      </c>
      <c r="J21" s="4">
        <v>21</v>
      </c>
      <c r="K21" s="11">
        <v>0.1024</v>
      </c>
      <c r="L21" s="11">
        <v>0.16309999999999999</v>
      </c>
      <c r="M21" s="4">
        <v>-6.0699999999999997E-2</v>
      </c>
      <c r="N21" s="4" t="s">
        <v>467</v>
      </c>
      <c r="O21" s="4" t="s">
        <v>468</v>
      </c>
      <c r="P21" s="4">
        <v>6</v>
      </c>
      <c r="Q21" s="4" t="s">
        <v>472</v>
      </c>
      <c r="R21" s="4">
        <v>20</v>
      </c>
      <c r="S21" s="4">
        <v>21</v>
      </c>
      <c r="T21" s="61">
        <v>0.1346</v>
      </c>
      <c r="U21" s="62">
        <v>4.5499999999999999E-2</v>
      </c>
      <c r="V21">
        <v>8.9099999999999999E-2</v>
      </c>
      <c r="W21" t="s">
        <v>465</v>
      </c>
      <c r="X21" t="s">
        <v>466</v>
      </c>
      <c r="Y21" s="4">
        <v>6</v>
      </c>
      <c r="Z21" s="4" t="s">
        <v>472</v>
      </c>
      <c r="AA21" s="4">
        <v>10</v>
      </c>
      <c r="AB21" s="4">
        <v>21</v>
      </c>
      <c r="AC21" s="11">
        <v>2.4799999999999999E-2</v>
      </c>
      <c r="AD21" s="11">
        <v>-8.5800000000000001E-2</v>
      </c>
      <c r="AE21" s="4">
        <v>0.1106</v>
      </c>
      <c r="AF21" s="4" t="s">
        <v>465</v>
      </c>
      <c r="AG21" s="4" t="s">
        <v>466</v>
      </c>
      <c r="AH21" s="4">
        <v>6</v>
      </c>
      <c r="AI21" s="4" t="s">
        <v>472</v>
      </c>
      <c r="AJ21" s="4">
        <v>10</v>
      </c>
      <c r="AK21" s="4">
        <v>21</v>
      </c>
      <c r="AL21" s="61">
        <v>-1.49E-2</v>
      </c>
      <c r="AM21" s="59">
        <v>-8.4900000000000003E-2</v>
      </c>
      <c r="AN21">
        <v>7.0000000000000007E-2</v>
      </c>
      <c r="AO21" t="s">
        <v>465</v>
      </c>
      <c r="AP21" t="s">
        <v>466</v>
      </c>
    </row>
    <row r="22" spans="2:42" x14ac:dyDescent="0.25">
      <c r="B22" s="56">
        <v>7</v>
      </c>
      <c r="C22">
        <v>2</v>
      </c>
      <c r="G22" s="4">
        <v>7</v>
      </c>
      <c r="H22" s="4" t="s">
        <v>405</v>
      </c>
      <c r="I22" s="4">
        <v>10</v>
      </c>
      <c r="J22" s="4">
        <v>23</v>
      </c>
      <c r="K22" s="11">
        <v>0.22620000000000001</v>
      </c>
      <c r="L22" s="11">
        <v>0.27700000000000002</v>
      </c>
      <c r="M22" s="4">
        <v>-5.0799999999999998E-2</v>
      </c>
      <c r="N22" s="4" t="s">
        <v>467</v>
      </c>
      <c r="O22" s="4" t="s">
        <v>468</v>
      </c>
      <c r="P22" s="4">
        <v>7</v>
      </c>
      <c r="Q22" s="4" t="s">
        <v>405</v>
      </c>
      <c r="R22" s="4">
        <v>10</v>
      </c>
      <c r="S22" s="4">
        <v>23</v>
      </c>
      <c r="T22" s="61">
        <v>0.1928</v>
      </c>
      <c r="U22" s="62">
        <v>0.21160000000000001</v>
      </c>
      <c r="V22">
        <v>-1.8800000000000001E-2</v>
      </c>
      <c r="W22" t="s">
        <v>467</v>
      </c>
      <c r="X22" t="s">
        <v>468</v>
      </c>
      <c r="Y22" s="4">
        <v>7</v>
      </c>
      <c r="Z22" s="4" t="s">
        <v>405</v>
      </c>
      <c r="AA22" s="4">
        <v>15</v>
      </c>
      <c r="AB22" s="4">
        <v>23</v>
      </c>
      <c r="AC22" s="11">
        <v>6.54E-2</v>
      </c>
      <c r="AD22" s="11">
        <v>6.4199999999999993E-2</v>
      </c>
      <c r="AE22" s="4">
        <v>1.1000000000000001E-3</v>
      </c>
      <c r="AF22" s="4" t="s">
        <v>467</v>
      </c>
      <c r="AG22" s="4" t="s">
        <v>468</v>
      </c>
      <c r="AH22" s="4">
        <v>7</v>
      </c>
      <c r="AI22" s="4" t="s">
        <v>405</v>
      </c>
      <c r="AJ22" s="4">
        <v>15</v>
      </c>
      <c r="AK22" s="4">
        <v>23</v>
      </c>
      <c r="AL22" s="61">
        <v>2.58E-2</v>
      </c>
      <c r="AM22" s="59">
        <v>3.6999999999999998E-2</v>
      </c>
      <c r="AN22">
        <v>-1.12E-2</v>
      </c>
      <c r="AO22" t="s">
        <v>467</v>
      </c>
      <c r="AP22" t="s">
        <v>468</v>
      </c>
    </row>
    <row r="23" spans="2:42" x14ac:dyDescent="0.25">
      <c r="B23" s="56">
        <v>8</v>
      </c>
      <c r="C23">
        <v>0</v>
      </c>
      <c r="G23" s="4">
        <v>7</v>
      </c>
      <c r="H23" s="58" t="s">
        <v>473</v>
      </c>
      <c r="I23" s="4">
        <v>15</v>
      </c>
      <c r="J23" s="4">
        <v>23</v>
      </c>
      <c r="K23" s="11">
        <v>0.1996</v>
      </c>
      <c r="L23" s="11">
        <v>0.17599999999999999</v>
      </c>
      <c r="M23" s="4">
        <v>2.3599999999999999E-2</v>
      </c>
      <c r="N23" s="4" t="s">
        <v>467</v>
      </c>
      <c r="O23" s="4" t="s">
        <v>468</v>
      </c>
      <c r="P23" s="4">
        <v>7</v>
      </c>
      <c r="Q23" s="58">
        <v>0.2</v>
      </c>
      <c r="R23" s="4">
        <v>15</v>
      </c>
      <c r="S23" s="4">
        <v>23</v>
      </c>
      <c r="T23" s="61">
        <v>0.1749</v>
      </c>
      <c r="U23" s="62">
        <v>0.21379999999999999</v>
      </c>
      <c r="V23">
        <v>-3.8899999999999997E-2</v>
      </c>
      <c r="W23" t="s">
        <v>467</v>
      </c>
      <c r="X23" t="s">
        <v>468</v>
      </c>
      <c r="Y23" s="4">
        <v>7</v>
      </c>
      <c r="Z23" s="58">
        <v>0.2</v>
      </c>
      <c r="AA23" s="4">
        <v>15</v>
      </c>
      <c r="AB23" s="4">
        <v>23</v>
      </c>
      <c r="AC23" s="11">
        <v>9.7299999999999998E-2</v>
      </c>
      <c r="AD23" s="11">
        <v>0.15709999999999999</v>
      </c>
      <c r="AE23" s="4">
        <v>-5.9799999999999999E-2</v>
      </c>
      <c r="AF23" s="4" t="s">
        <v>467</v>
      </c>
      <c r="AG23" s="4" t="s">
        <v>468</v>
      </c>
      <c r="AH23" s="4">
        <v>7</v>
      </c>
      <c r="AI23" s="58">
        <v>0.2</v>
      </c>
      <c r="AJ23" s="4">
        <v>15</v>
      </c>
      <c r="AK23" s="4">
        <v>23</v>
      </c>
      <c r="AL23" s="60">
        <v>7.0300000000000001E-2</v>
      </c>
      <c r="AM23" s="59">
        <v>0.13100000000000001</v>
      </c>
      <c r="AN23">
        <v>-6.0699999999999997E-2</v>
      </c>
      <c r="AO23" t="s">
        <v>467</v>
      </c>
      <c r="AP23" t="s">
        <v>468</v>
      </c>
    </row>
    <row r="24" spans="2:42" x14ac:dyDescent="0.25">
      <c r="B24" s="56">
        <v>8</v>
      </c>
      <c r="C24">
        <v>1</v>
      </c>
      <c r="G24" s="4">
        <v>7</v>
      </c>
      <c r="H24" s="58" t="s">
        <v>474</v>
      </c>
      <c r="I24" s="4">
        <v>15</v>
      </c>
      <c r="J24" s="4">
        <v>23</v>
      </c>
      <c r="K24" s="11">
        <v>0.1958</v>
      </c>
      <c r="L24" s="11">
        <v>0.24410000000000001</v>
      </c>
      <c r="M24" s="4">
        <v>-4.8300000000000003E-2</v>
      </c>
      <c r="N24" s="4" t="s">
        <v>467</v>
      </c>
      <c r="O24" s="4" t="s">
        <v>468</v>
      </c>
      <c r="P24" s="4">
        <v>7</v>
      </c>
      <c r="Q24" s="58">
        <v>0.2</v>
      </c>
      <c r="R24" s="4">
        <v>15</v>
      </c>
      <c r="S24" s="4">
        <v>23</v>
      </c>
      <c r="T24" s="61">
        <v>0.16800000000000001</v>
      </c>
      <c r="U24" s="62">
        <v>0.14810000000000001</v>
      </c>
      <c r="V24">
        <v>1.9800000000000002E-2</v>
      </c>
      <c r="W24" t="s">
        <v>467</v>
      </c>
      <c r="X24" t="s">
        <v>468</v>
      </c>
      <c r="Y24" s="4">
        <v>7</v>
      </c>
      <c r="Z24" s="58">
        <v>0.2</v>
      </c>
      <c r="AA24" s="4">
        <v>15</v>
      </c>
      <c r="AB24" s="4">
        <v>23</v>
      </c>
      <c r="AC24" s="11">
        <v>8.2699999999999996E-2</v>
      </c>
      <c r="AD24" s="11">
        <v>0.1061</v>
      </c>
      <c r="AE24" s="4">
        <v>-2.35E-2</v>
      </c>
      <c r="AF24" s="4" t="s">
        <v>467</v>
      </c>
      <c r="AG24" s="4" t="s">
        <v>468</v>
      </c>
      <c r="AH24" s="4">
        <v>7</v>
      </c>
      <c r="AI24" s="58">
        <v>0.2</v>
      </c>
      <c r="AJ24" s="4">
        <v>15</v>
      </c>
      <c r="AK24" s="4">
        <v>23</v>
      </c>
      <c r="AL24" s="60">
        <v>5.6899999999999999E-2</v>
      </c>
      <c r="AM24" s="59">
        <v>8.7099999999999997E-2</v>
      </c>
      <c r="AN24">
        <v>-3.0200000000000001E-2</v>
      </c>
      <c r="AO24" t="s">
        <v>467</v>
      </c>
      <c r="AP24" t="s">
        <v>468</v>
      </c>
    </row>
    <row r="25" spans="2:42" x14ac:dyDescent="0.25">
      <c r="B25" s="56">
        <v>8</v>
      </c>
      <c r="C25">
        <v>2</v>
      </c>
      <c r="G25" s="4">
        <v>8</v>
      </c>
      <c r="H25" s="4" t="s">
        <v>469</v>
      </c>
      <c r="I25" s="4">
        <v>3</v>
      </c>
      <c r="J25" s="4">
        <v>22</v>
      </c>
      <c r="K25" s="11">
        <v>0.40860000000000002</v>
      </c>
      <c r="L25" s="11">
        <v>0.34639999999999999</v>
      </c>
      <c r="M25" s="4">
        <v>6.2100000000000002E-2</v>
      </c>
      <c r="N25" s="4" t="s">
        <v>465</v>
      </c>
      <c r="O25" s="4" t="s">
        <v>466</v>
      </c>
      <c r="P25" s="4">
        <v>8</v>
      </c>
      <c r="Q25" s="4" t="s">
        <v>469</v>
      </c>
      <c r="R25" s="4">
        <v>3</v>
      </c>
      <c r="S25" s="4">
        <v>22</v>
      </c>
      <c r="T25" s="61">
        <v>0.40920000000000001</v>
      </c>
      <c r="U25" s="62">
        <v>0.35170000000000001</v>
      </c>
      <c r="V25">
        <v>5.7500000000000002E-2</v>
      </c>
      <c r="W25" t="s">
        <v>465</v>
      </c>
      <c r="X25" t="s">
        <v>466</v>
      </c>
      <c r="Y25" s="4">
        <v>8</v>
      </c>
      <c r="Z25" s="4" t="s">
        <v>469</v>
      </c>
      <c r="AA25" s="4">
        <v>4</v>
      </c>
      <c r="AB25" s="4">
        <v>22</v>
      </c>
      <c r="AC25" s="11">
        <v>0.41089999999999999</v>
      </c>
      <c r="AD25" s="11">
        <v>0.34310000000000002</v>
      </c>
      <c r="AE25" s="4">
        <v>6.7799999999999999E-2</v>
      </c>
      <c r="AF25" s="4" t="s">
        <v>465</v>
      </c>
      <c r="AG25" s="4" t="s">
        <v>466</v>
      </c>
      <c r="AH25" s="4">
        <v>8</v>
      </c>
      <c r="AI25" s="4" t="s">
        <v>469</v>
      </c>
      <c r="AJ25" s="4">
        <v>4</v>
      </c>
      <c r="AK25" s="4">
        <v>22</v>
      </c>
      <c r="AL25" s="61">
        <v>0.3952</v>
      </c>
      <c r="AM25" s="62">
        <v>0.32750000000000001</v>
      </c>
      <c r="AN25">
        <v>6.7699999999999996E-2</v>
      </c>
      <c r="AO25" t="s">
        <v>465</v>
      </c>
      <c r="AP25" t="s">
        <v>466</v>
      </c>
    </row>
    <row r="26" spans="2:42" x14ac:dyDescent="0.25">
      <c r="B26" s="56">
        <v>9</v>
      </c>
      <c r="C26">
        <v>0</v>
      </c>
      <c r="G26" s="4">
        <v>8</v>
      </c>
      <c r="H26" s="4" t="s">
        <v>393</v>
      </c>
      <c r="I26" s="4">
        <v>4</v>
      </c>
      <c r="J26" s="4">
        <v>22</v>
      </c>
      <c r="K26" s="11">
        <v>0.43020000000000003</v>
      </c>
      <c r="L26" s="11">
        <v>0.1613</v>
      </c>
      <c r="M26" s="4">
        <v>0.26889999999999997</v>
      </c>
      <c r="N26" s="4" t="s">
        <v>465</v>
      </c>
      <c r="O26" s="4" t="s">
        <v>471</v>
      </c>
      <c r="P26" s="4">
        <v>8</v>
      </c>
      <c r="Q26" s="4" t="s">
        <v>393</v>
      </c>
      <c r="R26" s="4">
        <v>20</v>
      </c>
      <c r="S26" s="4">
        <v>22</v>
      </c>
      <c r="T26" s="61">
        <v>0.44890000000000002</v>
      </c>
      <c r="U26" s="62">
        <v>0.44019999999999998</v>
      </c>
      <c r="V26">
        <v>8.6999999999999994E-3</v>
      </c>
      <c r="W26" t="s">
        <v>467</v>
      </c>
      <c r="X26" t="s">
        <v>468</v>
      </c>
      <c r="Y26" s="4">
        <v>8</v>
      </c>
      <c r="Z26" s="4" t="s">
        <v>393</v>
      </c>
      <c r="AA26" s="4">
        <v>20</v>
      </c>
      <c r="AB26" s="4">
        <v>22</v>
      </c>
      <c r="AC26" s="11">
        <v>0.46600000000000003</v>
      </c>
      <c r="AD26" s="11">
        <v>0.39129999999999998</v>
      </c>
      <c r="AE26" s="4">
        <v>7.4700000000000003E-2</v>
      </c>
      <c r="AF26" s="4" t="s">
        <v>465</v>
      </c>
      <c r="AG26" s="4" t="s">
        <v>466</v>
      </c>
      <c r="AH26" s="4">
        <v>8</v>
      </c>
      <c r="AI26" s="4" t="s">
        <v>393</v>
      </c>
      <c r="AJ26" s="4">
        <v>20</v>
      </c>
      <c r="AK26" s="4">
        <v>22</v>
      </c>
      <c r="AL26" s="61">
        <v>0.44130000000000003</v>
      </c>
      <c r="AM26" s="62">
        <v>0.3493</v>
      </c>
      <c r="AN26">
        <v>9.1999999999999998E-2</v>
      </c>
      <c r="AO26" t="s">
        <v>465</v>
      </c>
      <c r="AP26" t="s">
        <v>466</v>
      </c>
    </row>
    <row r="27" spans="2:42" x14ac:dyDescent="0.25">
      <c r="B27" s="56">
        <v>9</v>
      </c>
      <c r="C27">
        <v>1</v>
      </c>
      <c r="G27" s="4">
        <v>8</v>
      </c>
      <c r="H27" s="4" t="s">
        <v>395</v>
      </c>
      <c r="I27" s="4">
        <v>3</v>
      </c>
      <c r="J27" s="4">
        <v>22</v>
      </c>
      <c r="K27" s="11">
        <v>0.29320000000000002</v>
      </c>
      <c r="L27" s="11">
        <v>0.18079999999999999</v>
      </c>
      <c r="M27" s="4">
        <v>0.1124</v>
      </c>
      <c r="N27" s="4" t="s">
        <v>465</v>
      </c>
      <c r="O27" s="4" t="s">
        <v>466</v>
      </c>
      <c r="P27" s="4">
        <v>8</v>
      </c>
      <c r="Q27" s="4" t="s">
        <v>395</v>
      </c>
      <c r="R27" s="4">
        <v>3</v>
      </c>
      <c r="S27" s="4">
        <v>22</v>
      </c>
      <c r="T27" s="61">
        <v>0.29720000000000002</v>
      </c>
      <c r="U27" s="62">
        <v>0.19009999999999999</v>
      </c>
      <c r="V27">
        <v>0.1071</v>
      </c>
      <c r="W27" t="s">
        <v>465</v>
      </c>
      <c r="X27" t="s">
        <v>466</v>
      </c>
      <c r="Y27" s="4">
        <v>8</v>
      </c>
      <c r="Z27" s="4" t="s">
        <v>395</v>
      </c>
      <c r="AA27" s="4">
        <v>3</v>
      </c>
      <c r="AB27" s="4">
        <v>22</v>
      </c>
      <c r="AC27" s="11">
        <v>0.31380000000000002</v>
      </c>
      <c r="AD27" s="11">
        <v>0.23400000000000001</v>
      </c>
      <c r="AE27" s="4">
        <v>7.9799999999999996E-2</v>
      </c>
      <c r="AF27" s="4" t="s">
        <v>465</v>
      </c>
      <c r="AG27" s="4" t="s">
        <v>466</v>
      </c>
      <c r="AH27" s="4">
        <v>8</v>
      </c>
      <c r="AI27" s="4" t="s">
        <v>395</v>
      </c>
      <c r="AJ27" s="4">
        <v>3</v>
      </c>
      <c r="AK27" s="4">
        <v>22</v>
      </c>
      <c r="AL27" s="61">
        <v>0.31519999999999998</v>
      </c>
      <c r="AM27" s="62">
        <v>0.23330000000000001</v>
      </c>
      <c r="AN27">
        <v>8.1900000000000001E-2</v>
      </c>
      <c r="AO27" t="s">
        <v>465</v>
      </c>
      <c r="AP27" t="s">
        <v>466</v>
      </c>
    </row>
    <row r="28" spans="2:42" x14ac:dyDescent="0.25">
      <c r="B28" s="56">
        <v>9</v>
      </c>
      <c r="C28">
        <v>2</v>
      </c>
      <c r="G28" s="4">
        <v>9</v>
      </c>
      <c r="H28" s="4" t="s">
        <v>469</v>
      </c>
      <c r="I28" s="4">
        <v>10</v>
      </c>
      <c r="J28" s="4">
        <v>22</v>
      </c>
      <c r="K28" s="11">
        <v>4.7E-2</v>
      </c>
      <c r="L28" s="11">
        <v>0.2369</v>
      </c>
      <c r="M28" s="4">
        <v>-0.18990000000000001</v>
      </c>
      <c r="N28" s="4" t="s">
        <v>467</v>
      </c>
      <c r="O28" s="4" t="s">
        <v>468</v>
      </c>
      <c r="P28" s="4">
        <v>9</v>
      </c>
      <c r="Q28" s="4" t="s">
        <v>469</v>
      </c>
      <c r="R28" s="4">
        <v>20</v>
      </c>
      <c r="S28" s="4">
        <v>22</v>
      </c>
      <c r="T28" s="61">
        <v>0.104</v>
      </c>
      <c r="U28" s="62">
        <v>0.19450000000000001</v>
      </c>
      <c r="V28">
        <v>-9.0399999999999994E-2</v>
      </c>
      <c r="W28" t="s">
        <v>467</v>
      </c>
      <c r="X28" t="s">
        <v>468</v>
      </c>
      <c r="Y28" s="4">
        <v>9</v>
      </c>
      <c r="Z28" s="4" t="s">
        <v>469</v>
      </c>
      <c r="AA28" s="4">
        <v>20</v>
      </c>
      <c r="AB28" s="4">
        <v>22</v>
      </c>
      <c r="AC28" s="11">
        <v>6.4399999999999999E-2</v>
      </c>
      <c r="AD28" s="11">
        <v>0.1002</v>
      </c>
      <c r="AE28" s="4">
        <v>-3.5799999999999998E-2</v>
      </c>
      <c r="AF28" s="4" t="s">
        <v>467</v>
      </c>
      <c r="AG28" s="4" t="s">
        <v>468</v>
      </c>
      <c r="AH28" s="4">
        <v>9</v>
      </c>
      <c r="AI28" s="4" t="s">
        <v>469</v>
      </c>
      <c r="AJ28" s="4">
        <v>20</v>
      </c>
      <c r="AK28" s="4">
        <v>22</v>
      </c>
      <c r="AL28" s="61">
        <v>3.5099999999999999E-2</v>
      </c>
      <c r="AM28" s="62">
        <v>7.3700000000000002E-2</v>
      </c>
      <c r="AN28">
        <v>-3.8600000000000002E-2</v>
      </c>
      <c r="AO28" t="s">
        <v>467</v>
      </c>
      <c r="AP28" t="s">
        <v>468</v>
      </c>
    </row>
    <row r="29" spans="2:42" x14ac:dyDescent="0.25">
      <c r="G29" s="4">
        <v>9</v>
      </c>
      <c r="H29" s="4" t="s">
        <v>393</v>
      </c>
      <c r="I29" s="4">
        <v>3</v>
      </c>
      <c r="J29" s="4">
        <v>22</v>
      </c>
      <c r="K29" s="11">
        <v>0.1938</v>
      </c>
      <c r="L29" s="11">
        <v>0.1104</v>
      </c>
      <c r="M29" s="4">
        <v>8.3299999999999999E-2</v>
      </c>
      <c r="N29" s="4" t="s">
        <v>465</v>
      </c>
      <c r="O29" s="4" t="s">
        <v>466</v>
      </c>
      <c r="P29" s="4">
        <v>9</v>
      </c>
      <c r="Q29" s="4" t="s">
        <v>393</v>
      </c>
      <c r="R29" s="4">
        <v>20</v>
      </c>
      <c r="S29" s="4">
        <v>22</v>
      </c>
      <c r="T29" s="61">
        <v>0.2457</v>
      </c>
      <c r="U29" s="62">
        <v>0.3362</v>
      </c>
      <c r="V29">
        <v>-9.0399999999999994E-2</v>
      </c>
      <c r="W29" t="s">
        <v>467</v>
      </c>
      <c r="X29" t="s">
        <v>468</v>
      </c>
      <c r="Y29" s="4">
        <v>9</v>
      </c>
      <c r="Z29" s="4" t="s">
        <v>393</v>
      </c>
      <c r="AA29" s="4">
        <v>20</v>
      </c>
      <c r="AB29" s="4">
        <v>22</v>
      </c>
      <c r="AC29" s="11">
        <v>0.26850000000000002</v>
      </c>
      <c r="AD29" s="11">
        <v>0.23649999999999999</v>
      </c>
      <c r="AE29" s="4">
        <v>3.1899999999999998E-2</v>
      </c>
      <c r="AF29" s="4" t="s">
        <v>467</v>
      </c>
      <c r="AG29" s="4" t="s">
        <v>468</v>
      </c>
      <c r="AH29" s="4">
        <v>9</v>
      </c>
      <c r="AI29" s="4" t="s">
        <v>393</v>
      </c>
      <c r="AJ29" s="4">
        <v>20</v>
      </c>
      <c r="AK29" s="4">
        <v>22</v>
      </c>
      <c r="AL29" s="61">
        <v>0.24460000000000001</v>
      </c>
      <c r="AM29" s="62">
        <v>0.20130000000000001</v>
      </c>
      <c r="AN29">
        <v>4.3299999999999998E-2</v>
      </c>
      <c r="AO29" t="s">
        <v>467</v>
      </c>
      <c r="AP29" t="s">
        <v>468</v>
      </c>
    </row>
    <row r="30" spans="2:42" x14ac:dyDescent="0.25">
      <c r="G30" s="4">
        <v>9</v>
      </c>
      <c r="H30" s="4" t="s">
        <v>395</v>
      </c>
      <c r="I30" s="4">
        <v>10</v>
      </c>
      <c r="J30" s="4">
        <v>22</v>
      </c>
      <c r="K30" s="11">
        <v>0.14030000000000001</v>
      </c>
      <c r="L30" s="11">
        <v>0.3478</v>
      </c>
      <c r="M30" s="4">
        <v>-0.20749999999999999</v>
      </c>
      <c r="N30" s="4" t="s">
        <v>467</v>
      </c>
      <c r="O30" s="4" t="s">
        <v>468</v>
      </c>
      <c r="P30" s="4">
        <v>9</v>
      </c>
      <c r="Q30" s="4" t="s">
        <v>395</v>
      </c>
      <c r="R30" s="4">
        <v>20</v>
      </c>
      <c r="S30" s="4">
        <v>22</v>
      </c>
      <c r="T30" s="61">
        <v>0.19189999999999999</v>
      </c>
      <c r="U30" s="62">
        <v>0.26369999999999999</v>
      </c>
      <c r="V30">
        <v>-7.1800000000000003E-2</v>
      </c>
      <c r="W30" t="s">
        <v>467</v>
      </c>
      <c r="X30" t="s">
        <v>468</v>
      </c>
      <c r="Y30" s="4">
        <v>9</v>
      </c>
      <c r="Z30" s="4" t="s">
        <v>395</v>
      </c>
      <c r="AA30" s="4">
        <v>20</v>
      </c>
      <c r="AB30" s="4">
        <v>22</v>
      </c>
      <c r="AC30" s="11">
        <v>0.18590000000000001</v>
      </c>
      <c r="AD30" s="11">
        <v>0.1552</v>
      </c>
      <c r="AE30" s="4">
        <v>3.0700000000000002E-2</v>
      </c>
      <c r="AF30" s="4" t="s">
        <v>467</v>
      </c>
      <c r="AG30" s="4" t="s">
        <v>468</v>
      </c>
      <c r="AH30" s="4">
        <v>9</v>
      </c>
      <c r="AI30" s="4" t="s">
        <v>395</v>
      </c>
      <c r="AJ30" s="4">
        <v>20</v>
      </c>
      <c r="AK30" s="4">
        <v>22</v>
      </c>
      <c r="AL30" s="61">
        <v>0.1613</v>
      </c>
      <c r="AM30" s="62">
        <v>0.12839999999999999</v>
      </c>
      <c r="AN30">
        <v>3.2899999999999999E-2</v>
      </c>
      <c r="AO30" t="s">
        <v>467</v>
      </c>
      <c r="AP30" t="s">
        <v>468</v>
      </c>
    </row>
    <row r="33" spans="6:59" x14ac:dyDescent="0.25">
      <c r="F33" t="s">
        <v>475</v>
      </c>
      <c r="H33" t="s">
        <v>476</v>
      </c>
      <c r="K33" s="134">
        <v>0.99</v>
      </c>
      <c r="L33" s="134"/>
      <c r="T33" s="134">
        <v>0.97</v>
      </c>
      <c r="U33" s="134"/>
      <c r="AC33" s="135">
        <v>0.95</v>
      </c>
      <c r="AD33" s="135"/>
      <c r="AL33" s="134">
        <v>0.9</v>
      </c>
      <c r="AM33" s="134"/>
      <c r="AU33" s="135">
        <v>0.85</v>
      </c>
      <c r="AV33" s="135"/>
    </row>
    <row r="34" spans="6:59" x14ac:dyDescent="0.25">
      <c r="G34" t="s">
        <v>25</v>
      </c>
      <c r="H34" t="s">
        <v>26</v>
      </c>
      <c r="I34" t="s">
        <v>27</v>
      </c>
      <c r="J34" t="s">
        <v>28</v>
      </c>
      <c r="K34" s="4" t="s">
        <v>223</v>
      </c>
      <c r="L34" s="4" t="s">
        <v>224</v>
      </c>
      <c r="M34" s="4" t="s">
        <v>225</v>
      </c>
      <c r="N34" s="4" t="s">
        <v>226</v>
      </c>
      <c r="O34" s="4" t="s">
        <v>227</v>
      </c>
      <c r="P34" s="4" t="s">
        <v>25</v>
      </c>
      <c r="Q34" s="4" t="s">
        <v>26</v>
      </c>
      <c r="R34" s="4" t="s">
        <v>27</v>
      </c>
      <c r="S34" s="4" t="s">
        <v>28</v>
      </c>
      <c r="T34" s="4" t="s">
        <v>223</v>
      </c>
      <c r="U34" s="4" t="s">
        <v>224</v>
      </c>
      <c r="V34" s="4" t="s">
        <v>225</v>
      </c>
      <c r="W34" s="4" t="s">
        <v>226</v>
      </c>
      <c r="X34" s="4" t="s">
        <v>227</v>
      </c>
      <c r="Y34" t="s">
        <v>25</v>
      </c>
      <c r="Z34" t="s">
        <v>26</v>
      </c>
      <c r="AA34" t="s">
        <v>27</v>
      </c>
      <c r="AB34" t="s">
        <v>28</v>
      </c>
      <c r="AC34" t="s">
        <v>223</v>
      </c>
      <c r="AD34" t="s">
        <v>224</v>
      </c>
      <c r="AE34" t="s">
        <v>225</v>
      </c>
      <c r="AF34" t="s">
        <v>226</v>
      </c>
      <c r="AG34" t="s">
        <v>227</v>
      </c>
      <c r="AH34" s="2" t="s">
        <v>25</v>
      </c>
      <c r="AI34" s="2" t="s">
        <v>26</v>
      </c>
      <c r="AJ34" s="2" t="s">
        <v>27</v>
      </c>
      <c r="AK34" s="2" t="s">
        <v>28</v>
      </c>
      <c r="AL34" s="2" t="s">
        <v>223</v>
      </c>
      <c r="AM34" s="2" t="s">
        <v>224</v>
      </c>
      <c r="AN34" s="2" t="s">
        <v>225</v>
      </c>
      <c r="AO34" s="2" t="s">
        <v>226</v>
      </c>
      <c r="AP34" s="2" t="s">
        <v>227</v>
      </c>
      <c r="AQ34" s="4" t="s">
        <v>25</v>
      </c>
      <c r="AR34" s="4" t="s">
        <v>26</v>
      </c>
      <c r="AS34" s="4" t="s">
        <v>27</v>
      </c>
      <c r="AT34" s="4" t="s">
        <v>28</v>
      </c>
      <c r="AU34" s="4" t="s">
        <v>223</v>
      </c>
      <c r="AV34" s="4" t="s">
        <v>224</v>
      </c>
      <c r="AW34" s="4" t="s">
        <v>225</v>
      </c>
      <c r="AX34" s="4" t="s">
        <v>226</v>
      </c>
      <c r="AY34" s="4" t="s">
        <v>227</v>
      </c>
      <c r="BC34" s="2"/>
      <c r="BD34" s="2"/>
    </row>
    <row r="35" spans="6:59" x14ac:dyDescent="0.25">
      <c r="G35" s="4">
        <v>1</v>
      </c>
      <c r="H35" s="4" t="s">
        <v>469</v>
      </c>
      <c r="I35" s="4">
        <v>20</v>
      </c>
      <c r="J35" s="4">
        <v>21</v>
      </c>
      <c r="K35" s="61">
        <v>0.43469999999999998</v>
      </c>
      <c r="L35" s="62">
        <v>0.26319999999999999</v>
      </c>
      <c r="M35" s="11">
        <v>0.17150000000000001</v>
      </c>
      <c r="N35" s="11" t="s">
        <v>465</v>
      </c>
      <c r="O35" s="11" t="s">
        <v>471</v>
      </c>
      <c r="P35" s="11">
        <v>1</v>
      </c>
      <c r="Q35" s="11" t="s">
        <v>469</v>
      </c>
      <c r="R35" s="11">
        <v>20</v>
      </c>
      <c r="S35" s="11">
        <v>21</v>
      </c>
      <c r="T35" s="11">
        <v>0.41710000000000003</v>
      </c>
      <c r="U35" s="11">
        <v>0.27539999999999998</v>
      </c>
      <c r="V35" s="11">
        <v>0.14169999999999999</v>
      </c>
      <c r="W35" s="11" t="s">
        <v>465</v>
      </c>
      <c r="X35" s="11" t="s">
        <v>466</v>
      </c>
      <c r="Y35" s="12">
        <v>1</v>
      </c>
      <c r="Z35" s="12" t="s">
        <v>469</v>
      </c>
      <c r="AA35" s="12">
        <v>20</v>
      </c>
      <c r="AB35" s="12">
        <v>21</v>
      </c>
      <c r="AC35" s="60">
        <v>0.39760000000000001</v>
      </c>
      <c r="AD35" s="59">
        <v>0.40560000000000002</v>
      </c>
      <c r="AE35" s="2">
        <v>-8.0000000000000002E-3</v>
      </c>
      <c r="AF35" s="2" t="s">
        <v>467</v>
      </c>
      <c r="AG35" s="2" t="s">
        <v>468</v>
      </c>
      <c r="AH35" s="2">
        <v>1</v>
      </c>
      <c r="AI35" s="2" t="s">
        <v>469</v>
      </c>
      <c r="AJ35" s="2">
        <v>10</v>
      </c>
      <c r="AK35" s="2">
        <v>21</v>
      </c>
      <c r="AL35" s="12">
        <v>0.46010000000000001</v>
      </c>
      <c r="AM35" s="59">
        <v>0.41489999999999999</v>
      </c>
      <c r="AN35" s="2">
        <v>4.5199999999999997E-2</v>
      </c>
      <c r="AO35" s="2" t="s">
        <v>467</v>
      </c>
      <c r="AP35" s="2" t="s">
        <v>468</v>
      </c>
      <c r="AQ35" s="4">
        <v>1</v>
      </c>
      <c r="AR35" s="4" t="s">
        <v>469</v>
      </c>
      <c r="AS35" s="4">
        <v>6</v>
      </c>
      <c r="AT35" s="4">
        <v>21</v>
      </c>
      <c r="AU35" s="11">
        <v>0.30930000000000002</v>
      </c>
      <c r="AV35" s="11">
        <v>0.17899999999999999</v>
      </c>
      <c r="AW35" s="4">
        <v>0.1303</v>
      </c>
      <c r="AX35" s="4" t="s">
        <v>465</v>
      </c>
      <c r="AY35" s="4" t="s">
        <v>466</v>
      </c>
      <c r="BC35" s="2"/>
    </row>
    <row r="36" spans="6:59" x14ac:dyDescent="0.25">
      <c r="G36" s="4">
        <v>1</v>
      </c>
      <c r="H36" s="4" t="s">
        <v>394</v>
      </c>
      <c r="I36" s="4">
        <v>15</v>
      </c>
      <c r="J36" s="4">
        <v>21</v>
      </c>
      <c r="K36" s="61">
        <v>0.32179999999999997</v>
      </c>
      <c r="L36" s="62">
        <v>0.31900000000000001</v>
      </c>
      <c r="M36" s="11">
        <v>2.8E-3</v>
      </c>
      <c r="N36" s="11" t="s">
        <v>467</v>
      </c>
      <c r="O36" s="11" t="s">
        <v>468</v>
      </c>
      <c r="P36" s="11">
        <v>1</v>
      </c>
      <c r="Q36" s="11" t="s">
        <v>394</v>
      </c>
      <c r="R36" s="11">
        <v>20</v>
      </c>
      <c r="S36" s="11">
        <v>21</v>
      </c>
      <c r="T36" s="11">
        <v>0.311</v>
      </c>
      <c r="U36" s="11">
        <v>0.33239999999999997</v>
      </c>
      <c r="V36" s="11">
        <v>-2.1399999999999999E-2</v>
      </c>
      <c r="W36" s="11" t="s">
        <v>467</v>
      </c>
      <c r="X36" s="11" t="s">
        <v>468</v>
      </c>
      <c r="Y36" s="12">
        <v>1</v>
      </c>
      <c r="Z36" s="12" t="s">
        <v>394</v>
      </c>
      <c r="AA36" s="12">
        <v>15</v>
      </c>
      <c r="AB36" s="12">
        <v>21</v>
      </c>
      <c r="AC36" s="60">
        <v>0.28460000000000002</v>
      </c>
      <c r="AD36" s="59">
        <v>0.38419999999999999</v>
      </c>
      <c r="AE36" s="2">
        <v>-9.9599999999999994E-2</v>
      </c>
      <c r="AF36" s="2" t="s">
        <v>467</v>
      </c>
      <c r="AG36" s="2" t="s">
        <v>468</v>
      </c>
      <c r="AH36" s="2">
        <v>1</v>
      </c>
      <c r="AI36" s="2" t="s">
        <v>394</v>
      </c>
      <c r="AJ36" s="2">
        <v>10</v>
      </c>
      <c r="AK36" s="2">
        <v>21</v>
      </c>
      <c r="AL36" s="12">
        <v>0.28460000000000002</v>
      </c>
      <c r="AM36" s="59">
        <v>0.25</v>
      </c>
      <c r="AN36" s="2">
        <v>3.4599999999999999E-2</v>
      </c>
      <c r="AO36" s="2" t="s">
        <v>467</v>
      </c>
      <c r="AP36" s="2" t="s">
        <v>468</v>
      </c>
      <c r="AQ36" s="4">
        <v>1</v>
      </c>
      <c r="AR36" s="4" t="s">
        <v>394</v>
      </c>
      <c r="AS36" s="4">
        <v>10</v>
      </c>
      <c r="AT36" s="4">
        <v>21</v>
      </c>
      <c r="AU36" s="11">
        <v>9.7299999999999998E-2</v>
      </c>
      <c r="AV36" s="11">
        <v>-2.2599999999999999E-2</v>
      </c>
      <c r="AW36" s="4">
        <v>0.11990000000000001</v>
      </c>
      <c r="AX36" s="4" t="s">
        <v>465</v>
      </c>
      <c r="AY36" s="4" t="s">
        <v>466</v>
      </c>
      <c r="BB36" s="2"/>
      <c r="BC36" s="2"/>
      <c r="BE36" s="2"/>
    </row>
    <row r="37" spans="6:59" x14ac:dyDescent="0.25">
      <c r="G37" s="4">
        <v>1</v>
      </c>
      <c r="H37" s="4" t="s">
        <v>393</v>
      </c>
      <c r="I37" s="4">
        <v>3</v>
      </c>
      <c r="J37" s="4">
        <v>21</v>
      </c>
      <c r="K37" s="61">
        <v>0.4622</v>
      </c>
      <c r="L37" s="62">
        <v>0.65059999999999996</v>
      </c>
      <c r="M37" s="11">
        <v>-0.18840000000000001</v>
      </c>
      <c r="N37" s="11" t="s">
        <v>467</v>
      </c>
      <c r="O37" s="11" t="s">
        <v>468</v>
      </c>
      <c r="P37" s="11">
        <v>1</v>
      </c>
      <c r="Q37" s="11" t="s">
        <v>393</v>
      </c>
      <c r="R37" s="11">
        <v>3</v>
      </c>
      <c r="S37" s="11">
        <v>21</v>
      </c>
      <c r="T37" s="11">
        <v>0.48480000000000001</v>
      </c>
      <c r="U37" s="11">
        <v>0.66930000000000001</v>
      </c>
      <c r="V37" s="11">
        <v>-0.1845</v>
      </c>
      <c r="W37" s="11" t="s">
        <v>467</v>
      </c>
      <c r="X37" s="11" t="s">
        <v>468</v>
      </c>
      <c r="Y37" s="12">
        <v>1</v>
      </c>
      <c r="Z37" s="12" t="s">
        <v>393</v>
      </c>
      <c r="AA37" s="12">
        <v>3</v>
      </c>
      <c r="AB37" s="12">
        <v>21</v>
      </c>
      <c r="AC37" s="60">
        <v>0.46210000000000001</v>
      </c>
      <c r="AD37" s="59">
        <v>0.66390000000000005</v>
      </c>
      <c r="AE37" s="2">
        <v>-0.20180000000000001</v>
      </c>
      <c r="AF37" s="2" t="s">
        <v>467</v>
      </c>
      <c r="AG37" s="2" t="s">
        <v>468</v>
      </c>
      <c r="AH37" s="2">
        <v>1</v>
      </c>
      <c r="AI37" s="2" t="s">
        <v>393</v>
      </c>
      <c r="AJ37" s="2">
        <v>15</v>
      </c>
      <c r="AK37" s="2">
        <v>21</v>
      </c>
      <c r="AL37" s="12">
        <v>0.41460000000000002</v>
      </c>
      <c r="AM37" s="59">
        <v>0.54800000000000004</v>
      </c>
      <c r="AN37" s="2">
        <v>-0.13339999999999999</v>
      </c>
      <c r="AO37" s="2" t="s">
        <v>467</v>
      </c>
      <c r="AP37" s="2" t="s">
        <v>468</v>
      </c>
      <c r="AQ37" s="4">
        <v>1</v>
      </c>
      <c r="AR37" s="4" t="s">
        <v>393</v>
      </c>
      <c r="AS37" s="4">
        <v>4</v>
      </c>
      <c r="AT37" s="4">
        <v>21</v>
      </c>
      <c r="AU37" s="11">
        <v>0.30049999999999999</v>
      </c>
      <c r="AV37" s="11">
        <v>0.37919999999999998</v>
      </c>
      <c r="AW37" s="4">
        <v>-7.8700000000000006E-2</v>
      </c>
      <c r="AX37" s="4" t="s">
        <v>467</v>
      </c>
      <c r="AY37" s="4" t="s">
        <v>468</v>
      </c>
      <c r="BC37" s="2"/>
      <c r="BD37" s="2"/>
      <c r="BF37" s="2"/>
      <c r="BG37" s="2"/>
    </row>
    <row r="38" spans="6:59" x14ac:dyDescent="0.25">
      <c r="G38" s="4">
        <v>2</v>
      </c>
      <c r="H38" s="4" t="s">
        <v>469</v>
      </c>
      <c r="I38" s="4">
        <v>15</v>
      </c>
      <c r="J38" s="4">
        <v>22</v>
      </c>
      <c r="K38" s="61">
        <v>0.18340000000000001</v>
      </c>
      <c r="L38" s="62">
        <v>0.1295</v>
      </c>
      <c r="M38" s="11">
        <v>5.3900000000000003E-2</v>
      </c>
      <c r="N38" s="11" t="s">
        <v>465</v>
      </c>
      <c r="O38" s="11" t="s">
        <v>466</v>
      </c>
      <c r="P38" s="11">
        <v>2</v>
      </c>
      <c r="Q38" s="11" t="s">
        <v>469</v>
      </c>
      <c r="R38" s="11">
        <v>15</v>
      </c>
      <c r="S38" s="11">
        <v>22</v>
      </c>
      <c r="T38" s="11">
        <v>0.14760000000000001</v>
      </c>
      <c r="U38" s="11">
        <v>0.14199999999999999</v>
      </c>
      <c r="V38" s="11">
        <v>5.5999999999999999E-3</v>
      </c>
      <c r="W38" s="11" t="s">
        <v>467</v>
      </c>
      <c r="X38" s="11" t="s">
        <v>468</v>
      </c>
      <c r="Y38" s="12">
        <v>2</v>
      </c>
      <c r="Z38" s="12" t="s">
        <v>469</v>
      </c>
      <c r="AA38" s="12">
        <v>20</v>
      </c>
      <c r="AB38" s="12">
        <v>22</v>
      </c>
      <c r="AC38" s="60">
        <v>0.1174</v>
      </c>
      <c r="AD38" s="59">
        <v>0.12909999999999999</v>
      </c>
      <c r="AE38" s="2">
        <v>-1.17E-2</v>
      </c>
      <c r="AF38" s="2" t="s">
        <v>467</v>
      </c>
      <c r="AG38" s="2" t="s">
        <v>468</v>
      </c>
      <c r="AH38" s="2">
        <v>2</v>
      </c>
      <c r="AI38" s="2" t="s">
        <v>469</v>
      </c>
      <c r="AJ38" s="2">
        <v>15</v>
      </c>
      <c r="AK38" s="2">
        <v>22</v>
      </c>
      <c r="AL38" s="12">
        <v>9.1700000000000004E-2</v>
      </c>
      <c r="AM38" s="59">
        <v>1.6000000000000001E-3</v>
      </c>
      <c r="AN38" s="2">
        <v>9.01E-2</v>
      </c>
      <c r="AO38" s="2" t="s">
        <v>465</v>
      </c>
      <c r="AP38" s="2" t="s">
        <v>466</v>
      </c>
      <c r="AQ38" s="4">
        <v>2</v>
      </c>
      <c r="AR38" s="4" t="s">
        <v>469</v>
      </c>
      <c r="AS38" s="4">
        <v>10</v>
      </c>
      <c r="AT38" s="4">
        <v>22</v>
      </c>
      <c r="AU38" s="11">
        <v>-0.06</v>
      </c>
      <c r="AV38" s="11">
        <v>-0.2349</v>
      </c>
      <c r="AW38" s="4">
        <v>0.17499999999999999</v>
      </c>
      <c r="AX38" s="4" t="s">
        <v>465</v>
      </c>
      <c r="AY38" s="4" t="s">
        <v>471</v>
      </c>
      <c r="BC38" s="2"/>
      <c r="BE38" s="2"/>
      <c r="BF38" s="2"/>
    </row>
    <row r="39" spans="6:59" x14ac:dyDescent="0.25">
      <c r="G39" s="4">
        <v>2</v>
      </c>
      <c r="H39" s="4" t="s">
        <v>394</v>
      </c>
      <c r="I39" s="4">
        <v>20</v>
      </c>
      <c r="J39" s="4">
        <v>22</v>
      </c>
      <c r="K39" s="61">
        <v>0.20619999999999999</v>
      </c>
      <c r="L39" s="62">
        <v>0.15840000000000001</v>
      </c>
      <c r="M39" s="11">
        <v>4.7800000000000002E-2</v>
      </c>
      <c r="N39" s="11" t="s">
        <v>467</v>
      </c>
      <c r="O39" s="11" t="s">
        <v>468</v>
      </c>
      <c r="P39" s="11">
        <v>2</v>
      </c>
      <c r="Q39" s="11" t="s">
        <v>394</v>
      </c>
      <c r="R39" s="11">
        <v>15</v>
      </c>
      <c r="S39" s="11">
        <v>22</v>
      </c>
      <c r="T39" s="11">
        <v>0.1799</v>
      </c>
      <c r="U39" s="11">
        <v>0.18090000000000001</v>
      </c>
      <c r="V39" s="11">
        <v>-1E-3</v>
      </c>
      <c r="W39" s="11" t="s">
        <v>467</v>
      </c>
      <c r="X39" s="11" t="s">
        <v>468</v>
      </c>
      <c r="Y39" s="12">
        <v>2</v>
      </c>
      <c r="Z39" s="12" t="s">
        <v>394</v>
      </c>
      <c r="AA39" s="12">
        <v>20</v>
      </c>
      <c r="AB39" s="12">
        <v>22</v>
      </c>
      <c r="AC39" s="60">
        <v>0.15740000000000001</v>
      </c>
      <c r="AD39" s="59">
        <v>0.19270000000000001</v>
      </c>
      <c r="AE39" s="2">
        <v>-3.5299999999999998E-2</v>
      </c>
      <c r="AF39" s="2" t="s">
        <v>467</v>
      </c>
      <c r="AG39" s="2" t="s">
        <v>468</v>
      </c>
      <c r="AH39" s="2">
        <v>2</v>
      </c>
      <c r="AI39" s="2" t="s">
        <v>394</v>
      </c>
      <c r="AJ39" s="2">
        <v>15</v>
      </c>
      <c r="AK39" s="2">
        <v>22</v>
      </c>
      <c r="AL39" s="12">
        <v>0.13930000000000001</v>
      </c>
      <c r="AM39" s="59">
        <v>9.2700000000000005E-2</v>
      </c>
      <c r="AN39" s="2">
        <v>4.6600000000000003E-2</v>
      </c>
      <c r="AO39" s="2" t="s">
        <v>467</v>
      </c>
      <c r="AP39" s="2" t="s">
        <v>468</v>
      </c>
      <c r="AQ39" s="4">
        <v>2</v>
      </c>
      <c r="AR39" s="4" t="s">
        <v>394</v>
      </c>
      <c r="AS39" s="4">
        <v>10</v>
      </c>
      <c r="AT39" s="4">
        <v>22</v>
      </c>
      <c r="AU39" s="11">
        <v>-7.9000000000000008E-3</v>
      </c>
      <c r="AV39" s="11">
        <v>-0.13739999999999999</v>
      </c>
      <c r="AW39" s="4">
        <v>0.1295</v>
      </c>
      <c r="AX39" s="4" t="s">
        <v>465</v>
      </c>
      <c r="AY39" s="4" t="s">
        <v>466</v>
      </c>
      <c r="BB39" s="2"/>
      <c r="BC39" s="2"/>
      <c r="BE39" s="2"/>
      <c r="BF39" s="2"/>
    </row>
    <row r="40" spans="6:59" x14ac:dyDescent="0.25">
      <c r="G40" s="4">
        <v>2</v>
      </c>
      <c r="H40" s="4" t="s">
        <v>393</v>
      </c>
      <c r="I40" s="4">
        <v>20</v>
      </c>
      <c r="J40" s="4">
        <v>22</v>
      </c>
      <c r="K40" s="61">
        <v>0.21179999999999999</v>
      </c>
      <c r="L40" s="62">
        <v>0.1396</v>
      </c>
      <c r="M40" s="11">
        <v>7.22E-2</v>
      </c>
      <c r="N40" s="11" t="s">
        <v>465</v>
      </c>
      <c r="O40" s="11" t="s">
        <v>466</v>
      </c>
      <c r="P40" s="11">
        <v>2</v>
      </c>
      <c r="Q40" s="11" t="s">
        <v>393</v>
      </c>
      <c r="R40" s="11">
        <v>15</v>
      </c>
      <c r="S40" s="11">
        <v>22</v>
      </c>
      <c r="T40" s="11">
        <v>0.1903</v>
      </c>
      <c r="U40" s="11">
        <v>0.16450000000000001</v>
      </c>
      <c r="V40" s="11">
        <v>2.58E-2</v>
      </c>
      <c r="W40" s="11" t="s">
        <v>467</v>
      </c>
      <c r="X40" s="11" t="s">
        <v>468</v>
      </c>
      <c r="Y40" s="12">
        <v>2</v>
      </c>
      <c r="Z40" s="12" t="s">
        <v>393</v>
      </c>
      <c r="AA40" s="12">
        <v>20</v>
      </c>
      <c r="AB40" s="12">
        <v>22</v>
      </c>
      <c r="AC40" s="60">
        <v>0.16259999999999999</v>
      </c>
      <c r="AD40" s="59">
        <v>0.16300000000000001</v>
      </c>
      <c r="AE40" s="2">
        <v>-4.0000000000000002E-4</v>
      </c>
      <c r="AF40" s="2" t="s">
        <v>467</v>
      </c>
      <c r="AG40" s="2" t="s">
        <v>468</v>
      </c>
      <c r="AH40" s="2">
        <v>2</v>
      </c>
      <c r="AI40" s="2" t="s">
        <v>393</v>
      </c>
      <c r="AJ40" s="2">
        <v>15</v>
      </c>
      <c r="AK40" s="2">
        <v>22</v>
      </c>
      <c r="AL40" s="12">
        <v>0.13700000000000001</v>
      </c>
      <c r="AM40" s="59">
        <v>6.8099999999999994E-2</v>
      </c>
      <c r="AN40" s="2">
        <v>6.8900000000000003E-2</v>
      </c>
      <c r="AO40" s="2" t="s">
        <v>465</v>
      </c>
      <c r="AP40" s="2" t="s">
        <v>466</v>
      </c>
      <c r="AQ40" s="4">
        <v>2</v>
      </c>
      <c r="AR40" s="4" t="s">
        <v>393</v>
      </c>
      <c r="AS40" s="4">
        <v>10</v>
      </c>
      <c r="AT40" s="4">
        <v>22</v>
      </c>
      <c r="AU40" s="11">
        <v>4.3E-3</v>
      </c>
      <c r="AV40" s="11">
        <v>-0.1268</v>
      </c>
      <c r="AW40" s="4">
        <v>0.13120000000000001</v>
      </c>
      <c r="AX40" s="4" t="s">
        <v>465</v>
      </c>
      <c r="AY40" s="4" t="s">
        <v>466</v>
      </c>
      <c r="BC40" s="2"/>
      <c r="BD40" s="2"/>
      <c r="BF40" s="2"/>
    </row>
    <row r="41" spans="6:59" x14ac:dyDescent="0.25">
      <c r="G41" s="4">
        <v>3</v>
      </c>
      <c r="H41" s="4" t="s">
        <v>469</v>
      </c>
      <c r="I41" s="4">
        <v>20</v>
      </c>
      <c r="J41" s="4">
        <v>21</v>
      </c>
      <c r="K41" s="61">
        <v>0.48270000000000002</v>
      </c>
      <c r="L41" s="62">
        <v>0.34399999999999997</v>
      </c>
      <c r="M41" s="11">
        <v>0.13869999999999999</v>
      </c>
      <c r="N41" s="11" t="s">
        <v>465</v>
      </c>
      <c r="O41" s="11" t="s">
        <v>466</v>
      </c>
      <c r="P41" s="11">
        <v>3</v>
      </c>
      <c r="Q41" s="11" t="s">
        <v>469</v>
      </c>
      <c r="R41" s="11">
        <v>20</v>
      </c>
      <c r="S41" s="11">
        <v>21</v>
      </c>
      <c r="T41" s="11">
        <v>0.47010000000000002</v>
      </c>
      <c r="U41" s="11">
        <v>0.3579</v>
      </c>
      <c r="V41" s="11">
        <v>0.11219999999999999</v>
      </c>
      <c r="W41" s="11" t="s">
        <v>465</v>
      </c>
      <c r="X41" s="11" t="s">
        <v>466</v>
      </c>
      <c r="Y41" s="12">
        <v>3</v>
      </c>
      <c r="Z41" s="12" t="s">
        <v>469</v>
      </c>
      <c r="AA41" s="12">
        <v>20</v>
      </c>
      <c r="AB41" s="12">
        <v>21</v>
      </c>
      <c r="AC41" s="60">
        <v>0.45</v>
      </c>
      <c r="AD41" s="59">
        <v>0.46739999999999998</v>
      </c>
      <c r="AE41" s="2">
        <v>-1.7399999999999999E-2</v>
      </c>
      <c r="AF41" s="2" t="s">
        <v>467</v>
      </c>
      <c r="AG41" s="2" t="s">
        <v>468</v>
      </c>
      <c r="AH41" s="2">
        <v>3</v>
      </c>
      <c r="AI41" s="2" t="s">
        <v>469</v>
      </c>
      <c r="AJ41" s="2">
        <v>10</v>
      </c>
      <c r="AK41" s="2">
        <v>21</v>
      </c>
      <c r="AL41" s="12">
        <v>0.496</v>
      </c>
      <c r="AM41" s="59">
        <v>0.45739999999999997</v>
      </c>
      <c r="AN41" s="2">
        <v>3.8600000000000002E-2</v>
      </c>
      <c r="AO41" s="2" t="s">
        <v>467</v>
      </c>
      <c r="AP41" s="2" t="s">
        <v>468</v>
      </c>
      <c r="AQ41" s="4">
        <v>3</v>
      </c>
      <c r="AR41" s="4" t="s">
        <v>469</v>
      </c>
      <c r="AS41" s="4">
        <v>6</v>
      </c>
      <c r="AT41" s="4">
        <v>21</v>
      </c>
      <c r="AU41" s="11">
        <v>0.34200000000000003</v>
      </c>
      <c r="AV41" s="11">
        <v>0.23</v>
      </c>
      <c r="AW41" s="4">
        <v>0.112</v>
      </c>
      <c r="AX41" s="4" t="s">
        <v>465</v>
      </c>
      <c r="AY41" s="4" t="s">
        <v>466</v>
      </c>
      <c r="BC41" s="2"/>
      <c r="BE41" s="2"/>
      <c r="BF41" s="2"/>
    </row>
    <row r="42" spans="6:59" x14ac:dyDescent="0.25">
      <c r="G42" s="4">
        <v>3</v>
      </c>
      <c r="H42" s="4" t="s">
        <v>394</v>
      </c>
      <c r="I42" s="4">
        <v>20</v>
      </c>
      <c r="J42" s="4">
        <v>21</v>
      </c>
      <c r="K42" s="61">
        <v>0.3286</v>
      </c>
      <c r="L42" s="62">
        <v>0.27729999999999999</v>
      </c>
      <c r="M42" s="11">
        <v>5.1299999999999998E-2</v>
      </c>
      <c r="N42" s="11" t="s">
        <v>465</v>
      </c>
      <c r="O42" s="11" t="s">
        <v>466</v>
      </c>
      <c r="P42" s="11">
        <v>3</v>
      </c>
      <c r="Q42" s="11" t="s">
        <v>394</v>
      </c>
      <c r="R42" s="11">
        <v>20</v>
      </c>
      <c r="S42" s="11">
        <v>21</v>
      </c>
      <c r="T42" s="11">
        <v>0.34689999999999999</v>
      </c>
      <c r="U42" s="11">
        <v>0.31469999999999998</v>
      </c>
      <c r="V42" s="11">
        <v>3.2199999999999999E-2</v>
      </c>
      <c r="W42" s="11" t="s">
        <v>467</v>
      </c>
      <c r="X42" s="11" t="s">
        <v>468</v>
      </c>
      <c r="Y42" s="12">
        <v>3</v>
      </c>
      <c r="Z42" s="12" t="s">
        <v>394</v>
      </c>
      <c r="AA42" s="12">
        <v>15</v>
      </c>
      <c r="AB42" s="12">
        <v>21</v>
      </c>
      <c r="AC42" s="60">
        <v>0.3533</v>
      </c>
      <c r="AD42" s="59">
        <v>0.41220000000000001</v>
      </c>
      <c r="AE42" s="2">
        <v>-5.8900000000000001E-2</v>
      </c>
      <c r="AF42" s="2" t="s">
        <v>467</v>
      </c>
      <c r="AG42" s="2" t="s">
        <v>468</v>
      </c>
      <c r="AH42" s="2">
        <v>3</v>
      </c>
      <c r="AI42" s="2" t="s">
        <v>394</v>
      </c>
      <c r="AJ42" s="2">
        <v>10</v>
      </c>
      <c r="AK42" s="2">
        <v>21</v>
      </c>
      <c r="AL42" s="12">
        <v>0.33939999999999998</v>
      </c>
      <c r="AM42" s="59">
        <v>0.26150000000000001</v>
      </c>
      <c r="AN42" s="2">
        <v>7.7899999999999997E-2</v>
      </c>
      <c r="AO42" s="2" t="s">
        <v>465</v>
      </c>
      <c r="AP42" s="2" t="s">
        <v>466</v>
      </c>
      <c r="AQ42" s="4">
        <v>3</v>
      </c>
      <c r="AR42" s="4" t="s">
        <v>394</v>
      </c>
      <c r="AS42" s="4">
        <v>3</v>
      </c>
      <c r="AT42" s="4">
        <v>21</v>
      </c>
      <c r="AU42" s="11">
        <v>0.1186</v>
      </c>
      <c r="AV42" s="11">
        <v>5.0799999999999998E-2</v>
      </c>
      <c r="AW42" s="4">
        <v>6.7799999999999999E-2</v>
      </c>
      <c r="AX42" s="4" t="s">
        <v>465</v>
      </c>
      <c r="AY42" s="4" t="s">
        <v>466</v>
      </c>
      <c r="BB42" s="2"/>
      <c r="BC42" s="2"/>
      <c r="BE42" s="2"/>
      <c r="BF42" s="2"/>
    </row>
    <row r="43" spans="6:59" x14ac:dyDescent="0.25">
      <c r="G43" s="4">
        <v>3</v>
      </c>
      <c r="H43" s="4" t="s">
        <v>393</v>
      </c>
      <c r="I43" s="4">
        <v>20</v>
      </c>
      <c r="J43" s="4">
        <v>21</v>
      </c>
      <c r="K43" s="61">
        <v>0.40479999999999999</v>
      </c>
      <c r="L43" s="62">
        <v>7.6799999999999993E-2</v>
      </c>
      <c r="M43" s="11">
        <v>0.32800000000000001</v>
      </c>
      <c r="N43" s="11" t="s">
        <v>465</v>
      </c>
      <c r="O43" s="11" t="s">
        <v>471</v>
      </c>
      <c r="P43" s="11">
        <v>3</v>
      </c>
      <c r="Q43" s="11" t="s">
        <v>393</v>
      </c>
      <c r="R43" s="11">
        <v>20</v>
      </c>
      <c r="S43" s="11">
        <v>21</v>
      </c>
      <c r="T43" s="11">
        <v>0.41739999999999999</v>
      </c>
      <c r="U43" s="11">
        <v>0.15190000000000001</v>
      </c>
      <c r="V43" s="11">
        <v>0.26550000000000001</v>
      </c>
      <c r="W43" s="11" t="s">
        <v>465</v>
      </c>
      <c r="X43" s="11" t="s">
        <v>471</v>
      </c>
      <c r="Y43" s="12">
        <v>3</v>
      </c>
      <c r="Z43" s="12" t="s">
        <v>393</v>
      </c>
      <c r="AA43" s="12">
        <v>20</v>
      </c>
      <c r="AB43" s="12">
        <v>21</v>
      </c>
      <c r="AC43" s="60">
        <v>0.41670000000000001</v>
      </c>
      <c r="AD43" s="59">
        <v>0.33360000000000001</v>
      </c>
      <c r="AE43" s="2">
        <v>8.3099999999999993E-2</v>
      </c>
      <c r="AF43" s="2" t="s">
        <v>465</v>
      </c>
      <c r="AG43" s="2" t="s">
        <v>466</v>
      </c>
      <c r="AH43" s="2">
        <v>3</v>
      </c>
      <c r="AI43" s="2" t="s">
        <v>393</v>
      </c>
      <c r="AJ43" s="2">
        <v>10</v>
      </c>
      <c r="AK43" s="2">
        <v>21</v>
      </c>
      <c r="AL43" s="12">
        <v>0.44950000000000001</v>
      </c>
      <c r="AM43" s="59">
        <v>0.33560000000000001</v>
      </c>
      <c r="AN43" s="2">
        <v>0.1139</v>
      </c>
      <c r="AO43" s="2" t="s">
        <v>465</v>
      </c>
      <c r="AP43" s="2" t="s">
        <v>466</v>
      </c>
      <c r="AQ43" s="4">
        <v>3</v>
      </c>
      <c r="AR43" s="4" t="s">
        <v>393</v>
      </c>
      <c r="AS43" s="4">
        <v>3</v>
      </c>
      <c r="AT43" s="4">
        <v>21</v>
      </c>
      <c r="AU43" s="11">
        <v>0.28720000000000001</v>
      </c>
      <c r="AV43" s="11">
        <v>0.16300000000000001</v>
      </c>
      <c r="AW43" s="4">
        <v>0.1242</v>
      </c>
      <c r="AX43" s="4" t="s">
        <v>465</v>
      </c>
      <c r="AY43" s="4" t="s">
        <v>466</v>
      </c>
      <c r="BC43" s="2"/>
      <c r="BD43" s="2"/>
      <c r="BF43" s="2"/>
      <c r="BG43" s="2"/>
    </row>
    <row r="44" spans="6:59" x14ac:dyDescent="0.25">
      <c r="G44" s="4">
        <v>4</v>
      </c>
      <c r="H44" s="4" t="s">
        <v>469</v>
      </c>
      <c r="I44" s="4">
        <v>15</v>
      </c>
      <c r="J44" s="4">
        <v>22</v>
      </c>
      <c r="K44" s="61">
        <v>0.17369999999999999</v>
      </c>
      <c r="L44" s="62">
        <v>0.11700000000000001</v>
      </c>
      <c r="M44" s="11">
        <v>5.67E-2</v>
      </c>
      <c r="N44" s="11" t="s">
        <v>465</v>
      </c>
      <c r="O44" s="11" t="s">
        <v>466</v>
      </c>
      <c r="P44" s="11">
        <v>4</v>
      </c>
      <c r="Q44" s="11" t="s">
        <v>469</v>
      </c>
      <c r="R44" s="11">
        <v>15</v>
      </c>
      <c r="S44" s="11">
        <v>22</v>
      </c>
      <c r="T44" s="11">
        <v>0.13669999999999999</v>
      </c>
      <c r="U44" s="11">
        <v>0.13</v>
      </c>
      <c r="V44" s="11">
        <v>6.7000000000000002E-3</v>
      </c>
      <c r="W44" s="11" t="s">
        <v>467</v>
      </c>
      <c r="X44" s="11" t="s">
        <v>468</v>
      </c>
      <c r="Y44" s="12">
        <v>4</v>
      </c>
      <c r="Z44" s="12" t="s">
        <v>469</v>
      </c>
      <c r="AA44" s="12">
        <v>20</v>
      </c>
      <c r="AB44" s="12">
        <v>22</v>
      </c>
      <c r="AC44" s="60">
        <v>0.10589999999999999</v>
      </c>
      <c r="AD44" s="59">
        <v>0.1236</v>
      </c>
      <c r="AE44" s="2">
        <v>-1.7600000000000001E-2</v>
      </c>
      <c r="AF44" s="2" t="s">
        <v>467</v>
      </c>
      <c r="AG44" s="2" t="s">
        <v>468</v>
      </c>
      <c r="AH44" s="2">
        <v>4</v>
      </c>
      <c r="AI44" s="2" t="s">
        <v>469</v>
      </c>
      <c r="AJ44" s="2">
        <v>15</v>
      </c>
      <c r="AK44" s="2">
        <v>22</v>
      </c>
      <c r="AL44" s="12">
        <v>8.9099999999999999E-2</v>
      </c>
      <c r="AM44" s="59">
        <v>-4.1000000000000003E-3</v>
      </c>
      <c r="AN44" s="2">
        <v>9.3200000000000005E-2</v>
      </c>
      <c r="AO44" s="2" t="s">
        <v>465</v>
      </c>
      <c r="AP44" s="2" t="s">
        <v>466</v>
      </c>
      <c r="AQ44" s="4">
        <v>4</v>
      </c>
      <c r="AR44" s="4" t="s">
        <v>469</v>
      </c>
      <c r="AS44" s="4">
        <v>10</v>
      </c>
      <c r="AT44" s="4">
        <v>22</v>
      </c>
      <c r="AU44" s="11">
        <v>-6.3E-2</v>
      </c>
      <c r="AV44" s="11">
        <v>-0.24390000000000001</v>
      </c>
      <c r="AW44" s="4">
        <v>0.18090000000000001</v>
      </c>
      <c r="AX44" s="4" t="s">
        <v>465</v>
      </c>
      <c r="AY44" s="4" t="s">
        <v>471</v>
      </c>
      <c r="BC44" s="2"/>
      <c r="BD44" s="2"/>
      <c r="BF44" s="2"/>
    </row>
    <row r="45" spans="6:59" x14ac:dyDescent="0.25">
      <c r="G45" s="4">
        <v>4</v>
      </c>
      <c r="H45" s="4" t="s">
        <v>394</v>
      </c>
      <c r="I45" s="4">
        <v>20</v>
      </c>
      <c r="J45" s="4">
        <v>22</v>
      </c>
      <c r="K45" s="61">
        <v>0.40670000000000001</v>
      </c>
      <c r="L45" s="62">
        <v>0.1575</v>
      </c>
      <c r="M45" s="11">
        <v>0.24929999999999999</v>
      </c>
      <c r="N45" s="11" t="s">
        <v>465</v>
      </c>
      <c r="O45" s="11" t="s">
        <v>471</v>
      </c>
      <c r="P45" s="11">
        <v>4</v>
      </c>
      <c r="Q45" s="11" t="s">
        <v>394</v>
      </c>
      <c r="R45" s="11">
        <v>20</v>
      </c>
      <c r="S45" s="11">
        <v>22</v>
      </c>
      <c r="T45" s="11">
        <v>0.3231</v>
      </c>
      <c r="U45" s="11">
        <v>0.18099999999999999</v>
      </c>
      <c r="V45" s="11">
        <v>0.1421</v>
      </c>
      <c r="W45" s="11" t="s">
        <v>465</v>
      </c>
      <c r="X45" s="11" t="s">
        <v>466</v>
      </c>
      <c r="Y45" s="12">
        <v>4</v>
      </c>
      <c r="Z45" s="12" t="s">
        <v>394</v>
      </c>
      <c r="AA45" s="12">
        <v>20</v>
      </c>
      <c r="AB45" s="12">
        <v>22</v>
      </c>
      <c r="AC45" s="60">
        <v>0.33979999999999999</v>
      </c>
      <c r="AD45" s="59">
        <v>0.15029999999999999</v>
      </c>
      <c r="AE45" s="2">
        <v>0.1895</v>
      </c>
      <c r="AF45" s="2" t="s">
        <v>465</v>
      </c>
      <c r="AG45" s="2" t="s">
        <v>471</v>
      </c>
      <c r="AH45" s="2">
        <v>4</v>
      </c>
      <c r="AI45" s="2" t="s">
        <v>394</v>
      </c>
      <c r="AJ45" s="2">
        <v>15</v>
      </c>
      <c r="AK45" s="2">
        <v>22</v>
      </c>
      <c r="AL45" s="12">
        <v>0.21690000000000001</v>
      </c>
      <c r="AM45" s="59">
        <v>6.9599999999999995E-2</v>
      </c>
      <c r="AN45" s="2">
        <v>0.14729999999999999</v>
      </c>
      <c r="AO45" s="2" t="s">
        <v>465</v>
      </c>
      <c r="AP45" s="2" t="s">
        <v>466</v>
      </c>
      <c r="AQ45" s="4">
        <v>4</v>
      </c>
      <c r="AR45" s="4" t="s">
        <v>394</v>
      </c>
      <c r="AS45" s="4">
        <v>10</v>
      </c>
      <c r="AT45" s="4">
        <v>22</v>
      </c>
      <c r="AU45" s="11">
        <v>0.15909999999999999</v>
      </c>
      <c r="AV45" s="11">
        <v>-7.46E-2</v>
      </c>
      <c r="AW45" s="4">
        <v>0.23380000000000001</v>
      </c>
      <c r="AX45" s="4" t="s">
        <v>465</v>
      </c>
      <c r="AY45" s="4" t="s">
        <v>471</v>
      </c>
      <c r="BC45" s="2"/>
      <c r="BD45" s="2"/>
      <c r="BF45" s="2"/>
    </row>
    <row r="46" spans="6:59" x14ac:dyDescent="0.25">
      <c r="G46" s="4">
        <v>4</v>
      </c>
      <c r="H46" s="4" t="s">
        <v>393</v>
      </c>
      <c r="I46" s="4">
        <v>15</v>
      </c>
      <c r="J46" s="4">
        <v>22</v>
      </c>
      <c r="K46" s="61">
        <v>0.39979999999999999</v>
      </c>
      <c r="L46" s="62">
        <v>0.22900000000000001</v>
      </c>
      <c r="M46" s="11">
        <v>0.17069999999999999</v>
      </c>
      <c r="N46" s="11" t="s">
        <v>465</v>
      </c>
      <c r="O46" s="11" t="s">
        <v>471</v>
      </c>
      <c r="P46" s="11">
        <v>4</v>
      </c>
      <c r="Q46" s="11" t="s">
        <v>393</v>
      </c>
      <c r="R46" s="11">
        <v>15</v>
      </c>
      <c r="S46" s="11">
        <v>22</v>
      </c>
      <c r="T46" s="11">
        <v>0.33950000000000002</v>
      </c>
      <c r="U46" s="11">
        <v>0.2475</v>
      </c>
      <c r="V46" s="11">
        <v>9.2100000000000001E-2</v>
      </c>
      <c r="W46" s="11" t="s">
        <v>465</v>
      </c>
      <c r="X46" s="11" t="s">
        <v>466</v>
      </c>
      <c r="Y46" s="12">
        <v>4</v>
      </c>
      <c r="Z46" s="12" t="s">
        <v>393</v>
      </c>
      <c r="AA46" s="12">
        <v>20</v>
      </c>
      <c r="AB46" s="12">
        <v>22</v>
      </c>
      <c r="AC46" s="60">
        <v>0.31790000000000002</v>
      </c>
      <c r="AD46" s="59">
        <v>0.23280000000000001</v>
      </c>
      <c r="AE46" s="2">
        <v>8.5099999999999995E-2</v>
      </c>
      <c r="AF46" s="2" t="s">
        <v>465</v>
      </c>
      <c r="AG46" s="2" t="s">
        <v>466</v>
      </c>
      <c r="AH46" s="2">
        <v>4</v>
      </c>
      <c r="AI46" s="2" t="s">
        <v>393</v>
      </c>
      <c r="AJ46" s="2">
        <v>15</v>
      </c>
      <c r="AK46" s="2">
        <v>22</v>
      </c>
      <c r="AL46" s="12">
        <v>0.2288</v>
      </c>
      <c r="AM46" s="59">
        <v>0.10589999999999999</v>
      </c>
      <c r="AN46" s="2">
        <v>0.1229</v>
      </c>
      <c r="AO46" s="2" t="s">
        <v>465</v>
      </c>
      <c r="AP46" s="2" t="s">
        <v>466</v>
      </c>
      <c r="AQ46" s="4">
        <v>4</v>
      </c>
      <c r="AR46" s="4" t="s">
        <v>393</v>
      </c>
      <c r="AS46" s="4">
        <v>10</v>
      </c>
      <c r="AT46" s="4">
        <v>22</v>
      </c>
      <c r="AU46" s="11">
        <v>0.1057</v>
      </c>
      <c r="AV46" s="11">
        <v>-0.1143</v>
      </c>
      <c r="AW46" s="4">
        <v>0.22</v>
      </c>
      <c r="AX46" s="4" t="s">
        <v>465</v>
      </c>
      <c r="AY46" s="4" t="s">
        <v>471</v>
      </c>
      <c r="BC46" s="2"/>
      <c r="BD46" s="2"/>
      <c r="BF46" s="2"/>
      <c r="BG46" s="2"/>
    </row>
    <row r="47" spans="6:59" x14ac:dyDescent="0.25">
      <c r="G47" s="4">
        <v>5</v>
      </c>
      <c r="H47" s="4" t="s">
        <v>470</v>
      </c>
      <c r="I47" s="4">
        <v>20</v>
      </c>
      <c r="J47" s="4">
        <v>18</v>
      </c>
      <c r="K47" s="61">
        <v>0.37559999999999999</v>
      </c>
      <c r="L47" s="62">
        <v>0.25219999999999998</v>
      </c>
      <c r="M47" s="11">
        <v>0.1235</v>
      </c>
      <c r="N47" s="11" t="s">
        <v>465</v>
      </c>
      <c r="O47" s="11" t="s">
        <v>466</v>
      </c>
      <c r="P47" s="11">
        <v>5</v>
      </c>
      <c r="Q47" s="11" t="s">
        <v>470</v>
      </c>
      <c r="R47" s="11">
        <v>6</v>
      </c>
      <c r="S47" s="11">
        <v>18</v>
      </c>
      <c r="T47" s="11">
        <v>0.38169999999999998</v>
      </c>
      <c r="U47" s="11">
        <v>0.23050000000000001</v>
      </c>
      <c r="V47" s="11">
        <v>0.15129999999999999</v>
      </c>
      <c r="W47" s="11" t="s">
        <v>465</v>
      </c>
      <c r="X47" s="11" t="s">
        <v>471</v>
      </c>
      <c r="Y47" s="12">
        <v>5</v>
      </c>
      <c r="Z47" s="12" t="s">
        <v>470</v>
      </c>
      <c r="AA47" s="12">
        <v>4</v>
      </c>
      <c r="AB47" s="12">
        <v>18</v>
      </c>
      <c r="AC47" s="60">
        <v>0.37</v>
      </c>
      <c r="AD47" s="59">
        <v>0.2848</v>
      </c>
      <c r="AE47" s="2">
        <v>8.5199999999999998E-2</v>
      </c>
      <c r="AF47" s="2" t="s">
        <v>465</v>
      </c>
      <c r="AG47" s="2" t="s">
        <v>466</v>
      </c>
      <c r="AH47" s="2">
        <v>5</v>
      </c>
      <c r="AI47" s="2" t="s">
        <v>470</v>
      </c>
      <c r="AJ47" s="2">
        <v>6</v>
      </c>
      <c r="AK47" s="2">
        <v>18</v>
      </c>
      <c r="AL47" s="12">
        <v>0.20619999999999999</v>
      </c>
      <c r="AM47" s="59">
        <v>0.1028</v>
      </c>
      <c r="AN47" s="2">
        <v>0.1033</v>
      </c>
      <c r="AO47" s="2" t="s">
        <v>465</v>
      </c>
      <c r="AP47" s="2" t="s">
        <v>466</v>
      </c>
      <c r="AQ47" s="4">
        <v>5</v>
      </c>
      <c r="AR47" s="4" t="s">
        <v>470</v>
      </c>
      <c r="AS47" s="4">
        <v>3</v>
      </c>
      <c r="AT47" s="4">
        <v>18</v>
      </c>
      <c r="AU47" s="11">
        <v>0.13220000000000001</v>
      </c>
      <c r="AV47" s="11">
        <v>5.8000000000000003E-2</v>
      </c>
      <c r="AW47" s="4">
        <v>7.4200000000000002E-2</v>
      </c>
      <c r="AX47" s="4" t="s">
        <v>465</v>
      </c>
      <c r="AY47" s="4" t="s">
        <v>466</v>
      </c>
      <c r="BB47" s="2"/>
      <c r="BC47" s="2"/>
      <c r="BE47" s="2"/>
      <c r="BF47" s="2"/>
    </row>
    <row r="48" spans="6:59" x14ac:dyDescent="0.25">
      <c r="G48" s="4">
        <v>5</v>
      </c>
      <c r="H48" s="4" t="s">
        <v>464</v>
      </c>
      <c r="I48" s="4">
        <v>12</v>
      </c>
      <c r="J48" s="4">
        <v>18</v>
      </c>
      <c r="K48" s="61">
        <v>0.51570000000000005</v>
      </c>
      <c r="L48" s="62">
        <v>0.4294</v>
      </c>
      <c r="M48" s="11">
        <v>8.6199999999999999E-2</v>
      </c>
      <c r="N48" s="11" t="s">
        <v>465</v>
      </c>
      <c r="O48" s="11" t="s">
        <v>466</v>
      </c>
      <c r="P48" s="11">
        <v>5</v>
      </c>
      <c r="Q48" s="11" t="s">
        <v>464</v>
      </c>
      <c r="R48" s="11">
        <v>12</v>
      </c>
      <c r="S48" s="11">
        <v>18</v>
      </c>
      <c r="T48" s="11">
        <v>0.54390000000000005</v>
      </c>
      <c r="U48" s="11">
        <v>0.4294</v>
      </c>
      <c r="V48" s="11">
        <v>0.1145</v>
      </c>
      <c r="W48" s="11" t="s">
        <v>465</v>
      </c>
      <c r="X48" s="11" t="s">
        <v>466</v>
      </c>
      <c r="Y48" s="12">
        <v>5</v>
      </c>
      <c r="Z48" s="12" t="s">
        <v>464</v>
      </c>
      <c r="AA48" s="12">
        <v>15</v>
      </c>
      <c r="AB48" s="12">
        <v>18</v>
      </c>
      <c r="AC48" s="60">
        <v>0.57310000000000005</v>
      </c>
      <c r="AD48" s="59">
        <v>0.49830000000000002</v>
      </c>
      <c r="AE48" s="2">
        <v>7.4800000000000005E-2</v>
      </c>
      <c r="AF48" s="2" t="s">
        <v>465</v>
      </c>
      <c r="AG48" s="2" t="s">
        <v>466</v>
      </c>
      <c r="AH48" s="2">
        <v>5</v>
      </c>
      <c r="AI48" s="2" t="s">
        <v>464</v>
      </c>
      <c r="AJ48" s="2">
        <v>15</v>
      </c>
      <c r="AK48" s="2">
        <v>18</v>
      </c>
      <c r="AL48" s="12">
        <v>0.37390000000000001</v>
      </c>
      <c r="AM48" s="59">
        <v>0.29249999999999998</v>
      </c>
      <c r="AN48" s="2">
        <v>8.14E-2</v>
      </c>
      <c r="AO48" s="2" t="s">
        <v>465</v>
      </c>
      <c r="AP48" s="2" t="s">
        <v>466</v>
      </c>
      <c r="AQ48" s="4">
        <v>5</v>
      </c>
      <c r="AR48" s="4" t="s">
        <v>464</v>
      </c>
      <c r="AS48" s="4">
        <v>3</v>
      </c>
      <c r="AT48" s="4">
        <v>18</v>
      </c>
      <c r="AU48" s="11">
        <v>0.247</v>
      </c>
      <c r="AV48" s="11">
        <v>0.18940000000000001</v>
      </c>
      <c r="AW48" s="4">
        <v>5.7599999999999998E-2</v>
      </c>
      <c r="AX48" s="4" t="s">
        <v>465</v>
      </c>
      <c r="AY48" s="4" t="s">
        <v>466</v>
      </c>
      <c r="BC48" s="2"/>
      <c r="BD48" s="2"/>
      <c r="BF48" s="2"/>
      <c r="BG48" s="2"/>
    </row>
    <row r="49" spans="6:59" x14ac:dyDescent="0.25">
      <c r="G49" s="4">
        <v>5</v>
      </c>
      <c r="H49" s="4" t="s">
        <v>472</v>
      </c>
      <c r="I49" s="4">
        <v>8</v>
      </c>
      <c r="J49" s="4">
        <v>18</v>
      </c>
      <c r="K49" s="61">
        <v>-0.27550000000000002</v>
      </c>
      <c r="L49" s="62">
        <v>-0.48370000000000002</v>
      </c>
      <c r="M49" s="11">
        <v>0.2082</v>
      </c>
      <c r="N49" s="11" t="s">
        <v>465</v>
      </c>
      <c r="O49" s="11" t="s">
        <v>471</v>
      </c>
      <c r="P49" s="11">
        <v>5</v>
      </c>
      <c r="Q49" s="11" t="s">
        <v>472</v>
      </c>
      <c r="R49" s="11">
        <v>15</v>
      </c>
      <c r="S49" s="11">
        <v>18</v>
      </c>
      <c r="T49" s="11">
        <v>-0.4481</v>
      </c>
      <c r="U49" s="11">
        <v>-0.65310000000000001</v>
      </c>
      <c r="V49" s="11">
        <v>0.2049</v>
      </c>
      <c r="W49" s="11" t="s">
        <v>465</v>
      </c>
      <c r="X49" s="11" t="s">
        <v>471</v>
      </c>
      <c r="Y49" s="12">
        <v>5</v>
      </c>
      <c r="Z49" s="12" t="s">
        <v>472</v>
      </c>
      <c r="AA49" s="12">
        <v>4</v>
      </c>
      <c r="AB49" s="12">
        <v>18</v>
      </c>
      <c r="AC49" s="60">
        <v>-0.31859999999999999</v>
      </c>
      <c r="AD49" s="59">
        <v>-0.45710000000000001</v>
      </c>
      <c r="AE49" s="2">
        <v>0.13850000000000001</v>
      </c>
      <c r="AF49" s="2" t="s">
        <v>465</v>
      </c>
      <c r="AG49" s="2" t="s">
        <v>466</v>
      </c>
      <c r="AH49" s="2">
        <v>5</v>
      </c>
      <c r="AI49" s="2" t="s">
        <v>472</v>
      </c>
      <c r="AJ49" s="2">
        <v>8</v>
      </c>
      <c r="AK49" s="2">
        <v>18</v>
      </c>
      <c r="AL49" s="12">
        <v>-0.37690000000000001</v>
      </c>
      <c r="AM49" s="59">
        <v>-0.57830000000000004</v>
      </c>
      <c r="AN49" s="2">
        <v>0.2014</v>
      </c>
      <c r="AO49" s="2" t="s">
        <v>465</v>
      </c>
      <c r="AP49" s="2" t="s">
        <v>471</v>
      </c>
      <c r="AQ49" s="4">
        <v>5</v>
      </c>
      <c r="AR49" s="4" t="s">
        <v>472</v>
      </c>
      <c r="AS49" s="4">
        <v>8</v>
      </c>
      <c r="AT49" s="4">
        <v>18</v>
      </c>
      <c r="AU49" s="11">
        <v>-0.3503</v>
      </c>
      <c r="AV49" s="11">
        <v>-0.66290000000000004</v>
      </c>
      <c r="AW49" s="4">
        <v>0.31259999999999999</v>
      </c>
      <c r="AX49" s="4" t="s">
        <v>465</v>
      </c>
      <c r="AY49" s="4" t="s">
        <v>471</v>
      </c>
      <c r="BC49" s="2"/>
      <c r="BE49" s="2"/>
      <c r="BF49" s="2"/>
    </row>
    <row r="50" spans="6:59" x14ac:dyDescent="0.25">
      <c r="G50" s="4">
        <v>6</v>
      </c>
      <c r="H50" s="4" t="s">
        <v>470</v>
      </c>
      <c r="I50" s="4">
        <v>20</v>
      </c>
      <c r="J50" s="4">
        <v>21</v>
      </c>
      <c r="K50" s="61">
        <v>0.47670000000000001</v>
      </c>
      <c r="L50" s="62">
        <v>0.34079999999999999</v>
      </c>
      <c r="M50" s="11">
        <v>0.13589999999999999</v>
      </c>
      <c r="N50" s="11" t="s">
        <v>465</v>
      </c>
      <c r="O50" s="11" t="s">
        <v>466</v>
      </c>
      <c r="P50" s="11">
        <v>6</v>
      </c>
      <c r="Q50" s="11" t="s">
        <v>470</v>
      </c>
      <c r="R50" s="11">
        <v>20</v>
      </c>
      <c r="S50" s="11">
        <v>21</v>
      </c>
      <c r="T50" s="11">
        <v>0.46579999999999999</v>
      </c>
      <c r="U50" s="11">
        <v>0.3473</v>
      </c>
      <c r="V50" s="11">
        <v>0.11840000000000001</v>
      </c>
      <c r="W50" s="11" t="s">
        <v>465</v>
      </c>
      <c r="X50" s="11" t="s">
        <v>466</v>
      </c>
      <c r="Y50" s="12">
        <v>6</v>
      </c>
      <c r="Z50" s="12" t="s">
        <v>470</v>
      </c>
      <c r="AA50" s="12">
        <v>20</v>
      </c>
      <c r="AB50" s="12">
        <v>21</v>
      </c>
      <c r="AC50" s="60">
        <v>0.44890000000000002</v>
      </c>
      <c r="AD50" s="59">
        <v>0.44090000000000001</v>
      </c>
      <c r="AE50" s="2">
        <v>8.0000000000000002E-3</v>
      </c>
      <c r="AF50" s="2" t="s">
        <v>467</v>
      </c>
      <c r="AG50" s="2" t="s">
        <v>468</v>
      </c>
      <c r="AH50" s="2">
        <v>6</v>
      </c>
      <c r="AI50" s="2" t="s">
        <v>470</v>
      </c>
      <c r="AJ50" s="2">
        <v>10</v>
      </c>
      <c r="AK50" s="2">
        <v>21</v>
      </c>
      <c r="AL50" s="12">
        <v>0.48820000000000002</v>
      </c>
      <c r="AM50" s="59">
        <v>0.40739999999999998</v>
      </c>
      <c r="AN50" s="2">
        <v>8.0799999999999997E-2</v>
      </c>
      <c r="AO50" s="2" t="s">
        <v>465</v>
      </c>
      <c r="AP50" s="2" t="s">
        <v>466</v>
      </c>
      <c r="AQ50" s="4">
        <v>6</v>
      </c>
      <c r="AR50" s="4" t="s">
        <v>470</v>
      </c>
      <c r="AS50" s="4">
        <v>6</v>
      </c>
      <c r="AT50" s="4">
        <v>21</v>
      </c>
      <c r="AU50" s="11">
        <v>0.31480000000000002</v>
      </c>
      <c r="AV50" s="11">
        <v>0.16830000000000001</v>
      </c>
      <c r="AW50" s="4">
        <v>0.14660000000000001</v>
      </c>
      <c r="AX50" s="4" t="s">
        <v>465</v>
      </c>
      <c r="AY50" s="4" t="s">
        <v>466</v>
      </c>
      <c r="BC50" s="2"/>
      <c r="BD50" s="2"/>
      <c r="BF50" s="2"/>
      <c r="BG50" s="2"/>
    </row>
    <row r="51" spans="6:59" x14ac:dyDescent="0.25">
      <c r="G51" s="4">
        <v>6</v>
      </c>
      <c r="H51" s="4" t="s">
        <v>464</v>
      </c>
      <c r="I51" s="4">
        <v>20</v>
      </c>
      <c r="J51" s="4">
        <v>21</v>
      </c>
      <c r="K51" s="61">
        <v>0.40250000000000002</v>
      </c>
      <c r="L51" s="62">
        <v>0.2346</v>
      </c>
      <c r="M51" s="11">
        <v>0.16789999999999999</v>
      </c>
      <c r="N51" s="11" t="s">
        <v>465</v>
      </c>
      <c r="O51" s="11" t="s">
        <v>471</v>
      </c>
      <c r="P51" s="11">
        <v>6</v>
      </c>
      <c r="Q51" s="11" t="s">
        <v>464</v>
      </c>
      <c r="R51" s="11">
        <v>20</v>
      </c>
      <c r="S51" s="11">
        <v>21</v>
      </c>
      <c r="T51" s="11">
        <v>0.38700000000000001</v>
      </c>
      <c r="U51" s="11">
        <v>0.24529999999999999</v>
      </c>
      <c r="V51" s="11">
        <v>0.14169999999999999</v>
      </c>
      <c r="W51" s="11" t="s">
        <v>465</v>
      </c>
      <c r="X51" s="11" t="s">
        <v>466</v>
      </c>
      <c r="Y51" s="12">
        <v>6</v>
      </c>
      <c r="Z51" s="12" t="s">
        <v>464</v>
      </c>
      <c r="AA51" s="12">
        <v>20</v>
      </c>
      <c r="AB51" s="12">
        <v>21</v>
      </c>
      <c r="AC51" s="60">
        <v>0.37</v>
      </c>
      <c r="AD51" s="59">
        <v>0.38950000000000001</v>
      </c>
      <c r="AE51" s="2">
        <v>-1.95E-2</v>
      </c>
      <c r="AF51" s="2" t="s">
        <v>467</v>
      </c>
      <c r="AG51" s="2" t="s">
        <v>468</v>
      </c>
      <c r="AH51" s="2">
        <v>6</v>
      </c>
      <c r="AI51" s="2" t="s">
        <v>464</v>
      </c>
      <c r="AJ51" s="2">
        <v>10</v>
      </c>
      <c r="AK51" s="2">
        <v>21</v>
      </c>
      <c r="AL51" s="12">
        <v>0.43680000000000002</v>
      </c>
      <c r="AM51" s="59">
        <v>0.40500000000000003</v>
      </c>
      <c r="AN51" s="2">
        <v>3.1800000000000002E-2</v>
      </c>
      <c r="AO51" s="2" t="s">
        <v>467</v>
      </c>
      <c r="AP51" s="2" t="s">
        <v>468</v>
      </c>
      <c r="AQ51" s="4">
        <v>6</v>
      </c>
      <c r="AR51" s="4" t="s">
        <v>464</v>
      </c>
      <c r="AS51" s="4">
        <v>6</v>
      </c>
      <c r="AT51" s="4">
        <v>21</v>
      </c>
      <c r="AU51" s="11">
        <v>0.29330000000000001</v>
      </c>
      <c r="AV51" s="11">
        <v>0.1832</v>
      </c>
      <c r="AW51" s="4">
        <v>0.11020000000000001</v>
      </c>
      <c r="AX51" s="4" t="s">
        <v>465</v>
      </c>
      <c r="AY51" s="4" t="s">
        <v>466</v>
      </c>
      <c r="BC51" s="2"/>
      <c r="BE51" s="2"/>
      <c r="BF51" s="2"/>
    </row>
    <row r="52" spans="6:59" x14ac:dyDescent="0.25">
      <c r="G52" s="4">
        <v>6</v>
      </c>
      <c r="H52" s="4" t="s">
        <v>472</v>
      </c>
      <c r="I52" s="4">
        <v>10</v>
      </c>
      <c r="J52" s="4">
        <v>21</v>
      </c>
      <c r="K52" s="61">
        <v>0.18740000000000001</v>
      </c>
      <c r="L52" s="62">
        <v>5.7099999999999998E-2</v>
      </c>
      <c r="M52" s="11">
        <v>0.13020000000000001</v>
      </c>
      <c r="N52" s="11" t="s">
        <v>465</v>
      </c>
      <c r="O52" s="11" t="s">
        <v>466</v>
      </c>
      <c r="P52" s="11">
        <v>6</v>
      </c>
      <c r="Q52" s="11" t="s">
        <v>472</v>
      </c>
      <c r="R52" s="11">
        <v>15</v>
      </c>
      <c r="S52" s="11">
        <v>21</v>
      </c>
      <c r="T52" s="11">
        <v>0.13289999999999999</v>
      </c>
      <c r="U52" s="11">
        <v>5.3499999999999999E-2</v>
      </c>
      <c r="V52" s="11">
        <v>7.9299999999999995E-2</v>
      </c>
      <c r="W52" s="11" t="s">
        <v>465</v>
      </c>
      <c r="X52" s="11" t="s">
        <v>466</v>
      </c>
      <c r="Y52" s="12">
        <v>6</v>
      </c>
      <c r="Z52" s="12" t="s">
        <v>472</v>
      </c>
      <c r="AA52" s="12">
        <v>20</v>
      </c>
      <c r="AB52" s="12">
        <v>21</v>
      </c>
      <c r="AC52" s="60">
        <v>0.1346</v>
      </c>
      <c r="AD52" s="59">
        <v>4.5499999999999999E-2</v>
      </c>
      <c r="AE52" s="2">
        <v>8.9099999999999999E-2</v>
      </c>
      <c r="AF52" s="2" t="s">
        <v>465</v>
      </c>
      <c r="AG52" s="2" t="s">
        <v>466</v>
      </c>
      <c r="AH52" s="2">
        <v>6</v>
      </c>
      <c r="AI52" s="2" t="s">
        <v>472</v>
      </c>
      <c r="AJ52" s="2">
        <v>12</v>
      </c>
      <c r="AK52" s="2">
        <v>21</v>
      </c>
      <c r="AL52" s="12">
        <v>7.5399999999999995E-2</v>
      </c>
      <c r="AM52" s="59">
        <v>-0.156</v>
      </c>
      <c r="AN52" s="2">
        <v>0.23139999999999999</v>
      </c>
      <c r="AO52" s="2" t="s">
        <v>465</v>
      </c>
      <c r="AP52" s="2" t="s">
        <v>471</v>
      </c>
      <c r="AQ52" s="4">
        <v>6</v>
      </c>
      <c r="AR52" s="4" t="s">
        <v>472</v>
      </c>
      <c r="AS52" s="4">
        <v>10</v>
      </c>
      <c r="AT52" s="4">
        <v>21</v>
      </c>
      <c r="AU52" s="11">
        <v>-6.6400000000000001E-2</v>
      </c>
      <c r="AV52" s="11">
        <v>-0.42249999999999999</v>
      </c>
      <c r="AW52" s="4">
        <v>0.35599999999999998</v>
      </c>
      <c r="AX52" s="4" t="s">
        <v>465</v>
      </c>
      <c r="AY52" s="4" t="s">
        <v>471</v>
      </c>
      <c r="BC52" s="2"/>
      <c r="BD52" s="2"/>
      <c r="BF52" s="2"/>
    </row>
    <row r="53" spans="6:59" x14ac:dyDescent="0.25">
      <c r="G53" s="4">
        <v>7</v>
      </c>
      <c r="H53" s="4" t="s">
        <v>405</v>
      </c>
      <c r="I53" s="4">
        <v>10</v>
      </c>
      <c r="J53" s="4">
        <v>23</v>
      </c>
      <c r="K53" s="61">
        <v>0.2311</v>
      </c>
      <c r="L53" s="62">
        <v>0.2301</v>
      </c>
      <c r="M53" s="11">
        <v>1E-3</v>
      </c>
      <c r="N53" s="11" t="s">
        <v>467</v>
      </c>
      <c r="O53" s="11" t="s">
        <v>468</v>
      </c>
      <c r="P53" s="11">
        <v>7</v>
      </c>
      <c r="Q53" s="11" t="s">
        <v>405</v>
      </c>
      <c r="R53" s="11">
        <v>10</v>
      </c>
      <c r="S53" s="11">
        <v>23</v>
      </c>
      <c r="T53" s="11">
        <v>0.18859999999999999</v>
      </c>
      <c r="U53" s="11">
        <v>0.23630000000000001</v>
      </c>
      <c r="V53" s="11">
        <v>-4.7699999999999999E-2</v>
      </c>
      <c r="W53" s="11" t="s">
        <v>467</v>
      </c>
      <c r="X53" s="11" t="s">
        <v>468</v>
      </c>
      <c r="Y53" s="12">
        <v>7</v>
      </c>
      <c r="Z53" s="12" t="s">
        <v>405</v>
      </c>
      <c r="AA53" s="12">
        <v>10</v>
      </c>
      <c r="AB53" s="12">
        <v>23</v>
      </c>
      <c r="AC53" s="60">
        <v>0.1928</v>
      </c>
      <c r="AD53" s="59">
        <v>0.21160000000000001</v>
      </c>
      <c r="AE53" s="2">
        <v>-1.8800000000000001E-2</v>
      </c>
      <c r="AF53" s="2" t="s">
        <v>467</v>
      </c>
      <c r="AG53" s="2" t="s">
        <v>468</v>
      </c>
      <c r="AH53" s="2">
        <v>7</v>
      </c>
      <c r="AI53" s="2" t="s">
        <v>405</v>
      </c>
      <c r="AJ53" s="2">
        <v>10</v>
      </c>
      <c r="AK53" s="2">
        <v>23</v>
      </c>
      <c r="AL53" s="12">
        <v>0.14749999999999999</v>
      </c>
      <c r="AM53" s="59">
        <v>7.51E-2</v>
      </c>
      <c r="AN53" s="2">
        <v>7.2400000000000006E-2</v>
      </c>
      <c r="AO53" s="2" t="s">
        <v>465</v>
      </c>
      <c r="AP53" s="2" t="s">
        <v>466</v>
      </c>
      <c r="AQ53" s="4">
        <v>7</v>
      </c>
      <c r="AR53" s="4" t="s">
        <v>405</v>
      </c>
      <c r="AS53" s="4">
        <v>10</v>
      </c>
      <c r="AT53" s="4">
        <v>23</v>
      </c>
      <c r="AU53" s="11">
        <v>-4.0599999999999997E-2</v>
      </c>
      <c r="AV53" s="11">
        <v>-0.15909999999999999</v>
      </c>
      <c r="AW53" s="4">
        <v>0.11849999999999999</v>
      </c>
      <c r="AX53" s="4" t="s">
        <v>465</v>
      </c>
      <c r="AY53" s="4" t="s">
        <v>466</v>
      </c>
      <c r="BC53" s="2"/>
      <c r="BD53" s="2"/>
      <c r="BF53" s="2"/>
      <c r="BG53" s="2"/>
    </row>
    <row r="54" spans="6:59" x14ac:dyDescent="0.25">
      <c r="G54" s="4">
        <v>7</v>
      </c>
      <c r="H54" s="58">
        <v>0.2</v>
      </c>
      <c r="I54" s="4">
        <v>10</v>
      </c>
      <c r="J54" s="4">
        <v>23</v>
      </c>
      <c r="K54" s="61">
        <v>0.19370000000000001</v>
      </c>
      <c r="L54" s="62">
        <v>0.1016</v>
      </c>
      <c r="M54" s="11">
        <v>9.2100000000000001E-2</v>
      </c>
      <c r="N54" s="11" t="s">
        <v>465</v>
      </c>
      <c r="O54" s="11" t="s">
        <v>466</v>
      </c>
      <c r="P54" s="11">
        <v>7</v>
      </c>
      <c r="Q54" s="11">
        <v>0.2</v>
      </c>
      <c r="R54" s="11">
        <v>15</v>
      </c>
      <c r="S54" s="11">
        <v>23</v>
      </c>
      <c r="T54" s="11">
        <v>0.17369999999999999</v>
      </c>
      <c r="U54" s="11">
        <v>0.2218</v>
      </c>
      <c r="V54" s="11">
        <v>-4.8099999999999997E-2</v>
      </c>
      <c r="W54" s="11" t="s">
        <v>467</v>
      </c>
      <c r="X54" s="11" t="s">
        <v>468</v>
      </c>
      <c r="Y54" s="12">
        <v>7</v>
      </c>
      <c r="Z54" s="12">
        <v>0.2</v>
      </c>
      <c r="AA54" s="12">
        <v>15</v>
      </c>
      <c r="AB54" s="12">
        <v>23</v>
      </c>
      <c r="AC54" s="60">
        <v>0.1749</v>
      </c>
      <c r="AD54" s="59">
        <v>0.21379999999999999</v>
      </c>
      <c r="AE54" s="2">
        <v>-3.8899999999999997E-2</v>
      </c>
      <c r="AF54" s="2" t="s">
        <v>467</v>
      </c>
      <c r="AG54" s="2" t="s">
        <v>468</v>
      </c>
      <c r="AH54" s="2">
        <v>7</v>
      </c>
      <c r="AI54" s="57">
        <v>0.2</v>
      </c>
      <c r="AJ54" s="2">
        <v>10</v>
      </c>
      <c r="AK54" s="2">
        <v>23</v>
      </c>
      <c r="AL54" s="12">
        <v>8.4000000000000005E-2</v>
      </c>
      <c r="AM54" s="59">
        <v>6.4399999999999999E-2</v>
      </c>
      <c r="AN54" s="2">
        <v>1.9599999999999999E-2</v>
      </c>
      <c r="AO54" s="2" t="s">
        <v>467</v>
      </c>
      <c r="AP54" s="2" t="s">
        <v>468</v>
      </c>
      <c r="AQ54" s="4">
        <v>7</v>
      </c>
      <c r="AR54" s="58">
        <v>0.2</v>
      </c>
      <c r="AS54" s="4">
        <v>10</v>
      </c>
      <c r="AT54" s="4">
        <v>23</v>
      </c>
      <c r="AU54" s="11">
        <v>-2.07E-2</v>
      </c>
      <c r="AV54" s="11">
        <v>-8.2000000000000003E-2</v>
      </c>
      <c r="AW54" s="4">
        <v>6.1400000000000003E-2</v>
      </c>
      <c r="AX54" s="4" t="s">
        <v>465</v>
      </c>
      <c r="AY54" s="4" t="s">
        <v>466</v>
      </c>
      <c r="BB54" s="2"/>
    </row>
    <row r="55" spans="6:59" x14ac:dyDescent="0.25">
      <c r="G55" s="4">
        <v>7</v>
      </c>
      <c r="H55" s="58">
        <v>0.2</v>
      </c>
      <c r="I55" s="4">
        <v>15</v>
      </c>
      <c r="J55" s="4">
        <v>23</v>
      </c>
      <c r="K55" s="61">
        <v>0.19020000000000001</v>
      </c>
      <c r="L55" s="62">
        <v>0.19980000000000001</v>
      </c>
      <c r="M55" s="11">
        <v>-9.5999999999999992E-3</v>
      </c>
      <c r="N55" s="11" t="s">
        <v>467</v>
      </c>
      <c r="O55" s="11" t="s">
        <v>468</v>
      </c>
      <c r="P55" s="11">
        <v>7</v>
      </c>
      <c r="Q55" s="11">
        <v>0.2</v>
      </c>
      <c r="R55" s="11">
        <v>15</v>
      </c>
      <c r="S55" s="11">
        <v>23</v>
      </c>
      <c r="T55" s="11">
        <v>0.17100000000000001</v>
      </c>
      <c r="U55" s="11">
        <v>0.1532</v>
      </c>
      <c r="V55" s="11">
        <v>1.78E-2</v>
      </c>
      <c r="W55" s="11" t="s">
        <v>467</v>
      </c>
      <c r="X55" s="11" t="s">
        <v>468</v>
      </c>
      <c r="Y55" s="12">
        <v>7</v>
      </c>
      <c r="Z55" s="12">
        <v>0.2</v>
      </c>
      <c r="AA55" s="12">
        <v>15</v>
      </c>
      <c r="AB55" s="12">
        <v>23</v>
      </c>
      <c r="AC55" s="60">
        <v>0.16800000000000001</v>
      </c>
      <c r="AD55" s="59">
        <v>0.14810000000000001</v>
      </c>
      <c r="AE55" s="2">
        <v>1.9800000000000002E-2</v>
      </c>
      <c r="AF55" s="2" t="s">
        <v>467</v>
      </c>
      <c r="AG55" s="2" t="s">
        <v>468</v>
      </c>
      <c r="AH55" s="2">
        <v>7</v>
      </c>
      <c r="AI55" s="57">
        <v>0.2</v>
      </c>
      <c r="AJ55" s="2">
        <v>10</v>
      </c>
      <c r="AK55" s="2">
        <v>23</v>
      </c>
      <c r="AL55" s="12">
        <v>6.7000000000000004E-2</v>
      </c>
      <c r="AM55" s="59">
        <v>1.04E-2</v>
      </c>
      <c r="AN55" s="2">
        <v>5.67E-2</v>
      </c>
      <c r="AO55" s="2" t="s">
        <v>465</v>
      </c>
      <c r="AP55" s="2" t="s">
        <v>466</v>
      </c>
      <c r="AQ55" s="4">
        <v>7</v>
      </c>
      <c r="AR55" s="58">
        <v>0.2</v>
      </c>
      <c r="AS55" s="4">
        <v>3</v>
      </c>
      <c r="AT55" s="4">
        <v>23</v>
      </c>
      <c r="AU55" s="11">
        <v>-3.3300000000000003E-2</v>
      </c>
      <c r="AV55" s="11">
        <v>-1.9900000000000001E-2</v>
      </c>
      <c r="AW55" s="4">
        <v>-1.35E-2</v>
      </c>
      <c r="AX55" s="4" t="s">
        <v>467</v>
      </c>
      <c r="AY55" s="4" t="s">
        <v>468</v>
      </c>
      <c r="BB55" s="2"/>
    </row>
    <row r="56" spans="6:59" x14ac:dyDescent="0.25">
      <c r="G56" s="4">
        <v>8</v>
      </c>
      <c r="H56" s="4" t="s">
        <v>469</v>
      </c>
      <c r="I56" s="4">
        <v>3</v>
      </c>
      <c r="J56" s="4">
        <v>22</v>
      </c>
      <c r="K56" s="61">
        <v>0.42470000000000002</v>
      </c>
      <c r="L56" s="62">
        <v>0.33639999999999998</v>
      </c>
      <c r="M56" s="11">
        <v>8.8300000000000003E-2</v>
      </c>
      <c r="N56" s="11" t="s">
        <v>465</v>
      </c>
      <c r="O56" s="11" t="s">
        <v>466</v>
      </c>
      <c r="P56" s="11">
        <v>8</v>
      </c>
      <c r="Q56" s="11" t="s">
        <v>469</v>
      </c>
      <c r="R56" s="11">
        <v>3</v>
      </c>
      <c r="S56" s="11">
        <v>22</v>
      </c>
      <c r="T56" s="11">
        <v>0.41959999999999997</v>
      </c>
      <c r="U56" s="11">
        <v>0.32050000000000001</v>
      </c>
      <c r="V56" s="11">
        <v>9.9099999999999994E-2</v>
      </c>
      <c r="W56" s="11" t="s">
        <v>465</v>
      </c>
      <c r="X56" s="11" t="s">
        <v>466</v>
      </c>
      <c r="Y56" s="12">
        <v>8</v>
      </c>
      <c r="Z56" s="12" t="s">
        <v>469</v>
      </c>
      <c r="AA56" s="12">
        <v>3</v>
      </c>
      <c r="AB56" s="12">
        <v>22</v>
      </c>
      <c r="AC56" s="60">
        <v>0.40920000000000001</v>
      </c>
      <c r="AD56" s="59">
        <v>0.35170000000000001</v>
      </c>
      <c r="AE56" s="2">
        <v>5.7500000000000002E-2</v>
      </c>
      <c r="AF56" s="2" t="s">
        <v>465</v>
      </c>
      <c r="AG56" s="2" t="s">
        <v>466</v>
      </c>
      <c r="AH56" s="2">
        <v>8</v>
      </c>
      <c r="AI56" s="2" t="s">
        <v>469</v>
      </c>
      <c r="AJ56" s="2">
        <v>10</v>
      </c>
      <c r="AK56" s="2">
        <v>22</v>
      </c>
      <c r="AL56" s="12">
        <v>0.36530000000000001</v>
      </c>
      <c r="AM56" s="59">
        <v>0.3352</v>
      </c>
      <c r="AN56" s="2">
        <v>3.0099999999999998E-2</v>
      </c>
      <c r="AO56" s="2" t="s">
        <v>467</v>
      </c>
      <c r="AP56" s="2" t="s">
        <v>468</v>
      </c>
      <c r="AQ56" s="4">
        <v>8</v>
      </c>
      <c r="AR56" s="4" t="s">
        <v>469</v>
      </c>
      <c r="AS56" s="4">
        <v>3</v>
      </c>
      <c r="AT56" s="4">
        <v>22</v>
      </c>
      <c r="AU56" s="11">
        <v>0.28210000000000002</v>
      </c>
      <c r="AV56" s="11">
        <v>0.18720000000000001</v>
      </c>
      <c r="AW56" s="4">
        <v>9.4899999999999998E-2</v>
      </c>
      <c r="AX56" s="4" t="s">
        <v>465</v>
      </c>
      <c r="AY56" s="4" t="s">
        <v>466</v>
      </c>
      <c r="BD56" s="2"/>
      <c r="BE56" s="2"/>
    </row>
    <row r="57" spans="6:59" x14ac:dyDescent="0.25">
      <c r="G57" s="4">
        <v>8</v>
      </c>
      <c r="H57" s="4" t="s">
        <v>393</v>
      </c>
      <c r="I57" s="4">
        <v>20</v>
      </c>
      <c r="J57" s="4">
        <v>22</v>
      </c>
      <c r="K57" s="61">
        <v>0.46989999999999998</v>
      </c>
      <c r="L57" s="62">
        <v>0.25190000000000001</v>
      </c>
      <c r="M57" s="11">
        <v>0.21809999999999999</v>
      </c>
      <c r="N57" s="11" t="s">
        <v>465</v>
      </c>
      <c r="O57" s="11" t="s">
        <v>471</v>
      </c>
      <c r="P57" s="11">
        <v>8</v>
      </c>
      <c r="Q57" s="11" t="s">
        <v>393</v>
      </c>
      <c r="R57" s="11">
        <v>20</v>
      </c>
      <c r="S57" s="11">
        <v>22</v>
      </c>
      <c r="T57" s="11">
        <v>0.46189999999999998</v>
      </c>
      <c r="U57" s="11">
        <v>0.29120000000000001</v>
      </c>
      <c r="V57" s="11">
        <v>0.1706</v>
      </c>
      <c r="W57" s="11" t="s">
        <v>465</v>
      </c>
      <c r="X57" s="11" t="s">
        <v>471</v>
      </c>
      <c r="Y57" s="12">
        <v>8</v>
      </c>
      <c r="Z57" s="12" t="s">
        <v>393</v>
      </c>
      <c r="AA57" s="12">
        <v>20</v>
      </c>
      <c r="AB57" s="12">
        <v>22</v>
      </c>
      <c r="AC57" s="60">
        <v>0.44890000000000002</v>
      </c>
      <c r="AD57" s="59">
        <v>0.44019999999999998</v>
      </c>
      <c r="AE57" s="2">
        <v>8.6999999999999994E-3</v>
      </c>
      <c r="AF57" s="2" t="s">
        <v>467</v>
      </c>
      <c r="AG57" s="2" t="s">
        <v>468</v>
      </c>
      <c r="AH57" s="2">
        <v>8</v>
      </c>
      <c r="AI57" s="2" t="s">
        <v>393</v>
      </c>
      <c r="AJ57" s="2">
        <v>10</v>
      </c>
      <c r="AK57" s="2">
        <v>22</v>
      </c>
      <c r="AL57" s="12">
        <v>0.42420000000000002</v>
      </c>
      <c r="AM57" s="59">
        <v>0.32740000000000002</v>
      </c>
      <c r="AN57" s="2">
        <v>9.6699999999999994E-2</v>
      </c>
      <c r="AO57" s="2" t="s">
        <v>465</v>
      </c>
      <c r="AP57" s="2" t="s">
        <v>466</v>
      </c>
      <c r="AQ57" s="4">
        <v>8</v>
      </c>
      <c r="AR57" s="4" t="s">
        <v>393</v>
      </c>
      <c r="AS57" s="4">
        <v>3</v>
      </c>
      <c r="AT57" s="4">
        <v>22</v>
      </c>
      <c r="AU57" s="11">
        <v>0.188</v>
      </c>
      <c r="AV57" s="11">
        <v>5.0700000000000002E-2</v>
      </c>
      <c r="AW57" s="4">
        <v>0.13730000000000001</v>
      </c>
      <c r="AX57" s="4" t="s">
        <v>465</v>
      </c>
      <c r="AY57" s="4" t="s">
        <v>466</v>
      </c>
      <c r="BB57" s="2"/>
      <c r="BD57" s="2"/>
      <c r="BE57" s="2"/>
    </row>
    <row r="58" spans="6:59" x14ac:dyDescent="0.25">
      <c r="G58" s="4">
        <v>8</v>
      </c>
      <c r="H58" s="4" t="s">
        <v>395</v>
      </c>
      <c r="I58" s="4">
        <v>3</v>
      </c>
      <c r="J58" s="4">
        <v>22</v>
      </c>
      <c r="K58" s="61">
        <v>0.28960000000000002</v>
      </c>
      <c r="L58" s="62">
        <v>0.1305</v>
      </c>
      <c r="M58" s="11">
        <v>0.15909999999999999</v>
      </c>
      <c r="N58" s="11" t="s">
        <v>465</v>
      </c>
      <c r="O58" s="11" t="s">
        <v>471</v>
      </c>
      <c r="P58" s="11">
        <v>8</v>
      </c>
      <c r="Q58" s="11" t="s">
        <v>395</v>
      </c>
      <c r="R58" s="11">
        <v>3</v>
      </c>
      <c r="S58" s="11">
        <v>22</v>
      </c>
      <c r="T58" s="11">
        <v>0.28860000000000002</v>
      </c>
      <c r="U58" s="11">
        <v>0.12</v>
      </c>
      <c r="V58" s="11">
        <v>0.1686</v>
      </c>
      <c r="W58" s="11" t="s">
        <v>465</v>
      </c>
      <c r="X58" s="11" t="s">
        <v>471</v>
      </c>
      <c r="Y58" s="12">
        <v>8</v>
      </c>
      <c r="Z58" s="12" t="s">
        <v>395</v>
      </c>
      <c r="AA58" s="12">
        <v>3</v>
      </c>
      <c r="AB58" s="12">
        <v>22</v>
      </c>
      <c r="AC58" s="60">
        <v>0.29720000000000002</v>
      </c>
      <c r="AD58" s="59">
        <v>0.19009999999999999</v>
      </c>
      <c r="AE58" s="2">
        <v>0.1071</v>
      </c>
      <c r="AF58" s="2" t="s">
        <v>465</v>
      </c>
      <c r="AG58" s="2" t="s">
        <v>466</v>
      </c>
      <c r="AH58" s="2">
        <v>8</v>
      </c>
      <c r="AI58" s="2" t="s">
        <v>395</v>
      </c>
      <c r="AJ58" s="2">
        <v>6</v>
      </c>
      <c r="AK58" s="2">
        <v>22</v>
      </c>
      <c r="AL58" s="12">
        <v>0.2301</v>
      </c>
      <c r="AM58" s="59">
        <v>0.16159999999999999</v>
      </c>
      <c r="AN58" s="2">
        <v>6.8500000000000005E-2</v>
      </c>
      <c r="AO58" s="2" t="s">
        <v>465</v>
      </c>
      <c r="AP58" s="2" t="s">
        <v>466</v>
      </c>
      <c r="AQ58" s="4">
        <v>8</v>
      </c>
      <c r="AR58" s="4" t="s">
        <v>395</v>
      </c>
      <c r="AS58" s="4">
        <v>3</v>
      </c>
      <c r="AT58" s="4">
        <v>22</v>
      </c>
      <c r="AU58" s="11">
        <v>0.20080000000000001</v>
      </c>
      <c r="AV58" s="11">
        <v>3.04E-2</v>
      </c>
      <c r="AW58" s="4">
        <v>0.1704</v>
      </c>
      <c r="AX58" s="4" t="s">
        <v>465</v>
      </c>
      <c r="AY58" s="4" t="s">
        <v>471</v>
      </c>
      <c r="BD58" s="2"/>
    </row>
    <row r="59" spans="6:59" x14ac:dyDescent="0.25">
      <c r="G59" s="4">
        <v>9</v>
      </c>
      <c r="H59" s="4" t="s">
        <v>469</v>
      </c>
      <c r="I59" s="4">
        <v>15</v>
      </c>
      <c r="J59" s="4">
        <v>22</v>
      </c>
      <c r="K59" s="61">
        <v>0.15160000000000001</v>
      </c>
      <c r="L59" s="62">
        <v>0.2092</v>
      </c>
      <c r="M59" s="11">
        <v>-5.7599999999999998E-2</v>
      </c>
      <c r="N59" s="11" t="s">
        <v>467</v>
      </c>
      <c r="O59" s="11" t="s">
        <v>468</v>
      </c>
      <c r="P59" s="11">
        <v>9</v>
      </c>
      <c r="Q59" s="11" t="s">
        <v>469</v>
      </c>
      <c r="R59" s="11">
        <v>15</v>
      </c>
      <c r="S59" s="11">
        <v>22</v>
      </c>
      <c r="T59" s="11">
        <v>0.113</v>
      </c>
      <c r="U59" s="11">
        <v>0.22170000000000001</v>
      </c>
      <c r="V59" s="11">
        <v>-0.1087</v>
      </c>
      <c r="W59" s="11" t="s">
        <v>467</v>
      </c>
      <c r="X59" s="11" t="s">
        <v>468</v>
      </c>
      <c r="Y59" s="12">
        <v>9</v>
      </c>
      <c r="Z59" s="12" t="s">
        <v>469</v>
      </c>
      <c r="AA59" s="12">
        <v>20</v>
      </c>
      <c r="AB59" s="12">
        <v>22</v>
      </c>
      <c r="AC59" s="60">
        <v>0.104</v>
      </c>
      <c r="AD59" s="59">
        <v>0.19450000000000001</v>
      </c>
      <c r="AE59" s="2">
        <v>-9.0399999999999994E-2</v>
      </c>
      <c r="AF59" s="2" t="s">
        <v>467</v>
      </c>
      <c r="AG59" s="2" t="s">
        <v>468</v>
      </c>
      <c r="AH59" s="2">
        <v>9</v>
      </c>
      <c r="AI59" s="2" t="s">
        <v>469</v>
      </c>
      <c r="AJ59" s="2">
        <v>15</v>
      </c>
      <c r="AK59" s="2">
        <v>22</v>
      </c>
      <c r="AL59" s="12">
        <v>6.6600000000000006E-2</v>
      </c>
      <c r="AM59" s="59">
        <v>7.1099999999999997E-2</v>
      </c>
      <c r="AN59" s="2">
        <v>-4.4999999999999997E-3</v>
      </c>
      <c r="AO59" s="2" t="s">
        <v>467</v>
      </c>
      <c r="AP59" s="2" t="s">
        <v>468</v>
      </c>
      <c r="AQ59" s="4">
        <v>9</v>
      </c>
      <c r="AR59" s="4" t="s">
        <v>469</v>
      </c>
      <c r="AS59" s="4">
        <v>10</v>
      </c>
      <c r="AT59" s="4">
        <v>22</v>
      </c>
      <c r="AU59" s="11">
        <v>-3.9199999999999999E-2</v>
      </c>
      <c r="AV59" s="11">
        <v>-9.3700000000000006E-2</v>
      </c>
      <c r="AW59" s="4">
        <v>5.45E-2</v>
      </c>
      <c r="AX59" s="4" t="s">
        <v>465</v>
      </c>
      <c r="AY59" s="4" t="s">
        <v>466</v>
      </c>
      <c r="BC59" s="2"/>
      <c r="BD59" s="2"/>
      <c r="BF59" s="2"/>
      <c r="BG59" s="2"/>
    </row>
    <row r="60" spans="6:59" x14ac:dyDescent="0.25">
      <c r="G60" s="4">
        <v>9</v>
      </c>
      <c r="H60" s="4" t="s">
        <v>393</v>
      </c>
      <c r="I60" s="4">
        <v>15</v>
      </c>
      <c r="J60" s="4">
        <v>22</v>
      </c>
      <c r="K60" s="61">
        <v>0.2858</v>
      </c>
      <c r="L60" s="62">
        <v>0.2036</v>
      </c>
      <c r="M60" s="11">
        <v>8.2199999999999995E-2</v>
      </c>
      <c r="N60" s="11" t="s">
        <v>465</v>
      </c>
      <c r="O60" s="11" t="s">
        <v>466</v>
      </c>
      <c r="P60" s="11">
        <v>9</v>
      </c>
      <c r="Q60" s="11" t="s">
        <v>393</v>
      </c>
      <c r="R60" s="11">
        <v>15</v>
      </c>
      <c r="S60" s="11">
        <v>22</v>
      </c>
      <c r="T60" s="11">
        <v>0.2883</v>
      </c>
      <c r="U60" s="11">
        <v>0.2273</v>
      </c>
      <c r="V60" s="11">
        <v>6.0999999999999999E-2</v>
      </c>
      <c r="W60" s="11" t="s">
        <v>465</v>
      </c>
      <c r="X60" s="11" t="s">
        <v>466</v>
      </c>
      <c r="Y60" s="12">
        <v>9</v>
      </c>
      <c r="Z60" s="12" t="s">
        <v>393</v>
      </c>
      <c r="AA60" s="12">
        <v>20</v>
      </c>
      <c r="AB60" s="12">
        <v>22</v>
      </c>
      <c r="AC60" s="60">
        <v>0.2457</v>
      </c>
      <c r="AD60" s="59">
        <v>0.3362</v>
      </c>
      <c r="AE60" s="2">
        <v>-9.0399999999999994E-2</v>
      </c>
      <c r="AF60" s="2" t="s">
        <v>467</v>
      </c>
      <c r="AG60" s="2" t="s">
        <v>468</v>
      </c>
      <c r="AH60" s="2">
        <v>9</v>
      </c>
      <c r="AI60" s="2" t="s">
        <v>393</v>
      </c>
      <c r="AJ60" s="2">
        <v>15</v>
      </c>
      <c r="AK60" s="2">
        <v>22</v>
      </c>
      <c r="AL60" s="12">
        <v>0.26529999999999998</v>
      </c>
      <c r="AM60" s="59">
        <v>0.22520000000000001</v>
      </c>
      <c r="AN60" s="2">
        <v>4.0099999999999997E-2</v>
      </c>
      <c r="AO60" s="2" t="s">
        <v>467</v>
      </c>
      <c r="AP60" s="2" t="s">
        <v>468</v>
      </c>
      <c r="AQ60" s="4">
        <v>9</v>
      </c>
      <c r="AR60" s="4" t="s">
        <v>393</v>
      </c>
      <c r="AS60" s="4">
        <v>3</v>
      </c>
      <c r="AT60" s="4">
        <v>22</v>
      </c>
      <c r="AU60" s="11">
        <v>0.14360000000000001</v>
      </c>
      <c r="AV60" s="11">
        <v>0.11550000000000001</v>
      </c>
      <c r="AW60" s="4">
        <v>2.81E-2</v>
      </c>
      <c r="AX60" s="4" t="s">
        <v>467</v>
      </c>
      <c r="AY60" s="4" t="s">
        <v>468</v>
      </c>
      <c r="BB60" s="2"/>
      <c r="BD60" s="2"/>
      <c r="BE60" s="2"/>
    </row>
    <row r="61" spans="6:59" x14ac:dyDescent="0.25">
      <c r="G61" s="4">
        <v>9</v>
      </c>
      <c r="H61" s="4" t="s">
        <v>395</v>
      </c>
      <c r="I61" s="4">
        <v>15</v>
      </c>
      <c r="J61" s="4">
        <v>22</v>
      </c>
      <c r="K61" s="61">
        <v>0.2253</v>
      </c>
      <c r="L61" s="62">
        <v>0.1638</v>
      </c>
      <c r="M61" s="11">
        <v>6.1499999999999999E-2</v>
      </c>
      <c r="N61" s="11" t="s">
        <v>465</v>
      </c>
      <c r="O61" s="11" t="s">
        <v>466</v>
      </c>
      <c r="P61" s="11">
        <v>9</v>
      </c>
      <c r="Q61" s="11" t="s">
        <v>395</v>
      </c>
      <c r="R61" s="11">
        <v>15</v>
      </c>
      <c r="S61" s="11">
        <v>22</v>
      </c>
      <c r="T61" s="11">
        <v>0.22109999999999999</v>
      </c>
      <c r="U61" s="11">
        <v>0.19939999999999999</v>
      </c>
      <c r="V61" s="11">
        <v>2.1700000000000001E-2</v>
      </c>
      <c r="W61" s="11" t="s">
        <v>467</v>
      </c>
      <c r="X61" s="11" t="s">
        <v>468</v>
      </c>
      <c r="Y61" s="12">
        <v>9</v>
      </c>
      <c r="Z61" s="12" t="s">
        <v>395</v>
      </c>
      <c r="AA61" s="12">
        <v>20</v>
      </c>
      <c r="AB61" s="12">
        <v>22</v>
      </c>
      <c r="AC61" s="60">
        <v>0.19189999999999999</v>
      </c>
      <c r="AD61" s="59">
        <v>0.26369999999999999</v>
      </c>
      <c r="AE61" s="2">
        <v>-7.1800000000000003E-2</v>
      </c>
      <c r="AF61" s="2" t="s">
        <v>467</v>
      </c>
      <c r="AG61" s="2" t="s">
        <v>468</v>
      </c>
      <c r="AH61" s="2">
        <v>9</v>
      </c>
      <c r="AI61" s="2" t="s">
        <v>395</v>
      </c>
      <c r="AJ61" s="2">
        <v>15</v>
      </c>
      <c r="AK61" s="2">
        <v>22</v>
      </c>
      <c r="AL61" s="12">
        <v>0.1648</v>
      </c>
      <c r="AM61" s="59">
        <v>0.12130000000000001</v>
      </c>
      <c r="AN61" s="2">
        <v>4.3499999999999997E-2</v>
      </c>
      <c r="AO61" s="2" t="s">
        <v>467</v>
      </c>
      <c r="AP61" s="2" t="s">
        <v>468</v>
      </c>
      <c r="AQ61" s="4">
        <v>9</v>
      </c>
      <c r="AR61" s="4" t="s">
        <v>395</v>
      </c>
      <c r="AS61" s="4">
        <v>3</v>
      </c>
      <c r="AT61" s="4">
        <v>22</v>
      </c>
      <c r="AU61" s="11">
        <v>3.4200000000000001E-2</v>
      </c>
      <c r="AV61" s="11">
        <v>1.0699999999999999E-2</v>
      </c>
      <c r="AW61" s="4">
        <v>2.35E-2</v>
      </c>
      <c r="AX61" s="4" t="s">
        <v>467</v>
      </c>
      <c r="AY61" s="4" t="s">
        <v>468</v>
      </c>
      <c r="BE61" s="2"/>
      <c r="BF61" s="2"/>
    </row>
    <row r="62" spans="6:59" x14ac:dyDescent="0.25">
      <c r="BF62" s="2"/>
    </row>
    <row r="63" spans="6:59" x14ac:dyDescent="0.25">
      <c r="F63" t="s">
        <v>475</v>
      </c>
    </row>
    <row r="64" spans="6:59" x14ac:dyDescent="0.25">
      <c r="F64" t="s">
        <v>477</v>
      </c>
      <c r="H64" t="s">
        <v>478</v>
      </c>
      <c r="K64" s="4">
        <v>0.01</v>
      </c>
    </row>
    <row r="65" spans="7:46" x14ac:dyDescent="0.25">
      <c r="G65" s="4" t="s">
        <v>25</v>
      </c>
      <c r="H65" s="4" t="s">
        <v>26</v>
      </c>
      <c r="I65" s="4" t="s">
        <v>27</v>
      </c>
      <c r="J65" s="4" t="s">
        <v>28</v>
      </c>
      <c r="K65" s="4" t="s">
        <v>223</v>
      </c>
      <c r="L65" s="4" t="s">
        <v>224</v>
      </c>
      <c r="M65" s="4" t="s">
        <v>225</v>
      </c>
      <c r="N65" s="4" t="s">
        <v>226</v>
      </c>
      <c r="O65" s="4" t="s">
        <v>227</v>
      </c>
    </row>
    <row r="66" spans="7:46" x14ac:dyDescent="0.25">
      <c r="G66" s="4">
        <v>1</v>
      </c>
      <c r="H66" s="4" t="s">
        <v>469</v>
      </c>
      <c r="I66" s="4">
        <v>3</v>
      </c>
      <c r="J66" s="4">
        <v>21</v>
      </c>
      <c r="K66" s="11">
        <v>0.2631</v>
      </c>
      <c r="L66" s="11">
        <v>0.12239999999999999</v>
      </c>
      <c r="M66" s="4">
        <v>0.14069999999999999</v>
      </c>
      <c r="N66" s="4" t="s">
        <v>465</v>
      </c>
      <c r="O66" s="4" t="s">
        <v>466</v>
      </c>
    </row>
    <row r="67" spans="7:46" x14ac:dyDescent="0.25">
      <c r="G67" s="4">
        <v>1</v>
      </c>
      <c r="H67" s="4" t="s">
        <v>394</v>
      </c>
      <c r="I67" s="4">
        <v>3</v>
      </c>
      <c r="J67" s="4">
        <v>21</v>
      </c>
      <c r="K67" s="11">
        <v>0.1014</v>
      </c>
      <c r="L67" s="11">
        <v>4.5499999999999999E-2</v>
      </c>
      <c r="M67" s="4">
        <v>5.6000000000000001E-2</v>
      </c>
      <c r="N67" s="4" t="s">
        <v>465</v>
      </c>
      <c r="O67" s="4" t="s">
        <v>466</v>
      </c>
    </row>
    <row r="68" spans="7:46" x14ac:dyDescent="0.25">
      <c r="G68" s="4">
        <v>1</v>
      </c>
      <c r="H68" s="4" t="s">
        <v>393</v>
      </c>
      <c r="I68" s="4">
        <v>3</v>
      </c>
      <c r="J68" s="4">
        <v>21</v>
      </c>
      <c r="K68" s="11">
        <v>0.24929999999999999</v>
      </c>
      <c r="L68" s="11">
        <v>0.17080000000000001</v>
      </c>
      <c r="M68" s="4">
        <v>7.85E-2</v>
      </c>
      <c r="N68" s="4" t="s">
        <v>465</v>
      </c>
      <c r="O68" s="4" t="s">
        <v>466</v>
      </c>
    </row>
    <row r="69" spans="7:46" x14ac:dyDescent="0.25">
      <c r="G69" s="4">
        <v>2</v>
      </c>
      <c r="H69" s="4" t="s">
        <v>469</v>
      </c>
      <c r="I69" s="4">
        <v>3</v>
      </c>
      <c r="J69" s="4">
        <v>22</v>
      </c>
      <c r="K69" s="11">
        <v>-5.7799999999999997E-2</v>
      </c>
      <c r="L69" s="11">
        <v>-9.2799999999999994E-2</v>
      </c>
      <c r="M69" s="4">
        <v>3.5000000000000003E-2</v>
      </c>
      <c r="N69" s="4" t="s">
        <v>467</v>
      </c>
      <c r="O69" s="4" t="s">
        <v>468</v>
      </c>
      <c r="AG69" s="4"/>
      <c r="AH69" s="4"/>
      <c r="AR69" s="4"/>
    </row>
    <row r="70" spans="7:46" x14ac:dyDescent="0.25">
      <c r="G70" s="4">
        <v>2</v>
      </c>
      <c r="H70" s="4" t="s">
        <v>394</v>
      </c>
      <c r="I70" s="4">
        <v>3</v>
      </c>
      <c r="J70" s="4">
        <v>22</v>
      </c>
      <c r="K70" s="11">
        <v>2.52E-2</v>
      </c>
      <c r="L70" s="11">
        <v>-2.52E-2</v>
      </c>
      <c r="M70" s="4">
        <v>5.0500000000000003E-2</v>
      </c>
      <c r="N70" s="4" t="s">
        <v>465</v>
      </c>
      <c r="O70" s="4" t="s">
        <v>466</v>
      </c>
      <c r="AG70" s="4"/>
      <c r="AH70" s="4"/>
    </row>
    <row r="71" spans="7:46" x14ac:dyDescent="0.25">
      <c r="G71" s="4">
        <v>2</v>
      </c>
      <c r="H71" s="4" t="s">
        <v>393</v>
      </c>
      <c r="I71" s="4">
        <v>3</v>
      </c>
      <c r="J71" s="4">
        <v>22</v>
      </c>
      <c r="K71" s="11">
        <v>4.2700000000000002E-2</v>
      </c>
      <c r="L71" s="11">
        <v>-8.2000000000000007E-3</v>
      </c>
      <c r="M71" s="4">
        <v>5.0900000000000001E-2</v>
      </c>
      <c r="N71" s="4" t="s">
        <v>465</v>
      </c>
      <c r="O71" s="4" t="s">
        <v>466</v>
      </c>
      <c r="AG71" s="4"/>
      <c r="AH71" s="4"/>
    </row>
    <row r="72" spans="7:46" x14ac:dyDescent="0.25">
      <c r="G72" s="4">
        <v>3</v>
      </c>
      <c r="H72" s="4" t="s">
        <v>469</v>
      </c>
      <c r="I72" s="4">
        <v>3</v>
      </c>
      <c r="J72" s="4">
        <v>21</v>
      </c>
      <c r="K72" s="11">
        <v>0.28320000000000001</v>
      </c>
      <c r="L72" s="11">
        <v>0.14319999999999999</v>
      </c>
      <c r="M72" s="4">
        <v>0.14000000000000001</v>
      </c>
      <c r="N72" s="4" t="s">
        <v>465</v>
      </c>
      <c r="O72" s="4" t="s">
        <v>466</v>
      </c>
      <c r="S72" s="4" t="s">
        <v>400</v>
      </c>
      <c r="T72" s="4" t="s">
        <v>387</v>
      </c>
      <c r="U72" s="4" t="s">
        <v>388</v>
      </c>
      <c r="V72" s="4" t="s">
        <v>480</v>
      </c>
      <c r="W72" s="4" t="s">
        <v>0</v>
      </c>
      <c r="X72" s="4" t="s">
        <v>479</v>
      </c>
      <c r="Y72" s="4" t="s">
        <v>397</v>
      </c>
      <c r="Z72" s="13" t="s">
        <v>482</v>
      </c>
      <c r="AA72" s="13" t="s">
        <v>483</v>
      </c>
      <c r="AB72" s="4" t="s">
        <v>396</v>
      </c>
      <c r="AC72" s="4" t="s">
        <v>399</v>
      </c>
      <c r="AD72" s="4" t="s">
        <v>398</v>
      </c>
      <c r="AE72" s="2"/>
      <c r="AF72" s="4"/>
      <c r="AG72" s="4"/>
      <c r="AH72" s="4"/>
      <c r="AR72" s="4"/>
      <c r="AS72" s="4"/>
      <c r="AT72" s="4"/>
    </row>
    <row r="73" spans="7:46" ht="15" customHeight="1" x14ac:dyDescent="0.25">
      <c r="G73" s="4">
        <v>3</v>
      </c>
      <c r="H73" s="4" t="s">
        <v>394</v>
      </c>
      <c r="I73" s="4">
        <v>3</v>
      </c>
      <c r="J73" s="4">
        <v>21</v>
      </c>
      <c r="K73" s="11">
        <v>3.4200000000000001E-2</v>
      </c>
      <c r="L73" s="11">
        <v>-0.10639999999999999</v>
      </c>
      <c r="M73" s="4">
        <v>0.14050000000000001</v>
      </c>
      <c r="N73" s="4" t="s">
        <v>465</v>
      </c>
      <c r="O73" s="4" t="s">
        <v>466</v>
      </c>
      <c r="S73" s="134">
        <v>1</v>
      </c>
      <c r="T73" s="134" t="s">
        <v>4</v>
      </c>
      <c r="U73" s="134" t="s">
        <v>13</v>
      </c>
      <c r="V73" s="4" t="s">
        <v>432</v>
      </c>
      <c r="W73" s="134">
        <v>6</v>
      </c>
      <c r="Y73" s="2">
        <v>8</v>
      </c>
      <c r="Z73" s="63">
        <v>0.68330000000000002</v>
      </c>
      <c r="AA73" s="63">
        <v>0.5403</v>
      </c>
      <c r="AB73" s="2">
        <v>1</v>
      </c>
      <c r="AF73" s="4"/>
      <c r="AG73" s="4"/>
      <c r="AH73" s="4"/>
      <c r="AR73" s="4"/>
    </row>
    <row r="74" spans="7:46" ht="15" customHeight="1" x14ac:dyDescent="0.25">
      <c r="G74" s="4">
        <v>3</v>
      </c>
      <c r="H74" s="4" t="s">
        <v>393</v>
      </c>
      <c r="I74" s="4">
        <v>3</v>
      </c>
      <c r="J74" s="4">
        <v>21</v>
      </c>
      <c r="K74" s="11">
        <v>0.20849999999999999</v>
      </c>
      <c r="L74" s="11">
        <v>1.29E-2</v>
      </c>
      <c r="M74" s="4">
        <v>0.1956</v>
      </c>
      <c r="N74" s="4" t="s">
        <v>465</v>
      </c>
      <c r="O74" s="4" t="s">
        <v>471</v>
      </c>
      <c r="S74" s="134"/>
      <c r="T74" s="134"/>
      <c r="U74" s="134"/>
      <c r="V74" s="4" t="s">
        <v>20</v>
      </c>
      <c r="W74" s="134"/>
      <c r="Y74" s="2">
        <v>15</v>
      </c>
      <c r="Z74" s="11">
        <v>0.72189999999999999</v>
      </c>
      <c r="AA74" s="11">
        <v>0.71189999999999998</v>
      </c>
      <c r="AB74" s="2">
        <v>1</v>
      </c>
      <c r="AF74" s="4"/>
      <c r="AG74" s="4"/>
      <c r="AH74" s="4"/>
      <c r="AR74" s="4"/>
    </row>
    <row r="75" spans="7:46" ht="15" customHeight="1" x14ac:dyDescent="0.25">
      <c r="G75" s="4">
        <v>4</v>
      </c>
      <c r="H75" s="4" t="s">
        <v>469</v>
      </c>
      <c r="I75" s="4">
        <v>3</v>
      </c>
      <c r="J75" s="4">
        <v>22</v>
      </c>
      <c r="K75" s="11">
        <v>-6.0199999999999997E-2</v>
      </c>
      <c r="L75" s="11">
        <v>-9.5699999999999993E-2</v>
      </c>
      <c r="M75" s="4">
        <v>3.5499999999999997E-2</v>
      </c>
      <c r="N75" s="4" t="s">
        <v>467</v>
      </c>
      <c r="O75" s="4" t="s">
        <v>468</v>
      </c>
      <c r="S75" s="134"/>
      <c r="T75" s="134"/>
      <c r="U75" s="134"/>
      <c r="V75" s="4" t="s">
        <v>481</v>
      </c>
      <c r="W75" s="134"/>
      <c r="Y75" s="2">
        <v>8</v>
      </c>
      <c r="Z75" s="63">
        <v>0.73529999999999995</v>
      </c>
      <c r="AA75" s="63">
        <v>0.67800000000000005</v>
      </c>
      <c r="AB75" s="2">
        <v>1</v>
      </c>
      <c r="AF75" s="4"/>
      <c r="AG75" s="4"/>
      <c r="AH75" s="4"/>
      <c r="AR75" s="4"/>
    </row>
    <row r="76" spans="7:46" ht="15" customHeight="1" x14ac:dyDescent="0.25">
      <c r="G76" s="4">
        <v>4</v>
      </c>
      <c r="H76" s="4" t="s">
        <v>394</v>
      </c>
      <c r="I76" s="4">
        <v>3</v>
      </c>
      <c r="J76" s="4">
        <v>22</v>
      </c>
      <c r="K76" s="11">
        <v>1.1900000000000001E-2</v>
      </c>
      <c r="L76" s="11">
        <v>-5.2999999999999999E-2</v>
      </c>
      <c r="M76" s="4">
        <v>6.4799999999999996E-2</v>
      </c>
      <c r="N76" s="4" t="s">
        <v>465</v>
      </c>
      <c r="O76" s="4" t="s">
        <v>466</v>
      </c>
      <c r="S76" s="134">
        <v>2</v>
      </c>
      <c r="T76" s="134" t="s">
        <v>4</v>
      </c>
      <c r="U76" s="134" t="s">
        <v>14</v>
      </c>
      <c r="V76" s="4" t="s">
        <v>432</v>
      </c>
      <c r="W76" s="134">
        <v>6</v>
      </c>
      <c r="Y76" s="2">
        <v>8</v>
      </c>
      <c r="Z76" s="11">
        <v>0.44140000000000001</v>
      </c>
      <c r="AA76" s="11">
        <v>0.13539999999999999</v>
      </c>
      <c r="AB76" s="2">
        <v>1</v>
      </c>
      <c r="AF76" s="4"/>
      <c r="AG76" s="4"/>
      <c r="AH76" s="4"/>
      <c r="AR76" s="4"/>
    </row>
    <row r="77" spans="7:46" ht="15" customHeight="1" x14ac:dyDescent="0.25">
      <c r="G77" s="4">
        <v>4</v>
      </c>
      <c r="H77" s="4" t="s">
        <v>393</v>
      </c>
      <c r="I77" s="4">
        <v>3</v>
      </c>
      <c r="J77" s="4">
        <v>22</v>
      </c>
      <c r="K77" s="11">
        <v>-4.0000000000000001E-3</v>
      </c>
      <c r="L77" s="11">
        <v>-7.0400000000000004E-2</v>
      </c>
      <c r="M77" s="4">
        <v>6.6400000000000001E-2</v>
      </c>
      <c r="N77" s="4" t="s">
        <v>465</v>
      </c>
      <c r="O77" s="4" t="s">
        <v>466</v>
      </c>
      <c r="S77" s="134"/>
      <c r="T77" s="134"/>
      <c r="U77" s="134"/>
      <c r="V77" s="4" t="s">
        <v>20</v>
      </c>
      <c r="W77" s="134"/>
      <c r="Y77" s="2">
        <v>10</v>
      </c>
      <c r="Z77" s="63">
        <v>0.48180000000000001</v>
      </c>
      <c r="AA77" s="63">
        <v>1.09E-2</v>
      </c>
      <c r="AB77" s="2">
        <v>5</v>
      </c>
      <c r="AF77" s="4"/>
      <c r="AG77" s="4"/>
      <c r="AH77" s="4"/>
      <c r="AR77" s="4"/>
    </row>
    <row r="78" spans="7:46" ht="15" customHeight="1" x14ac:dyDescent="0.25">
      <c r="G78" s="4">
        <v>5</v>
      </c>
      <c r="H78" s="4" t="s">
        <v>470</v>
      </c>
      <c r="I78" s="4">
        <v>3</v>
      </c>
      <c r="J78" s="4">
        <v>18</v>
      </c>
      <c r="K78" s="11">
        <v>-8.5000000000000006E-2</v>
      </c>
      <c r="L78" s="11">
        <v>-0.16350000000000001</v>
      </c>
      <c r="M78" s="4">
        <v>7.85E-2</v>
      </c>
      <c r="N78" s="4" t="s">
        <v>465</v>
      </c>
      <c r="O78" s="4" t="s">
        <v>466</v>
      </c>
      <c r="S78" s="134"/>
      <c r="T78" s="134"/>
      <c r="U78" s="134"/>
      <c r="V78" s="4" t="s">
        <v>481</v>
      </c>
      <c r="W78" s="134"/>
      <c r="Y78" s="2">
        <v>8</v>
      </c>
      <c r="Z78" s="11">
        <v>0.51139999999999997</v>
      </c>
      <c r="AA78" s="11">
        <v>0.22969999999999999</v>
      </c>
      <c r="AB78" s="2">
        <v>1</v>
      </c>
      <c r="AF78" s="4"/>
      <c r="AG78" s="4"/>
      <c r="AH78" s="58"/>
      <c r="AQ78"/>
    </row>
    <row r="79" spans="7:46" ht="15" customHeight="1" x14ac:dyDescent="0.25">
      <c r="G79" s="4">
        <v>5</v>
      </c>
      <c r="H79" s="4" t="s">
        <v>464</v>
      </c>
      <c r="I79" s="4">
        <v>3</v>
      </c>
      <c r="J79" s="4">
        <v>18</v>
      </c>
      <c r="K79" s="11">
        <v>6.9099999999999995E-2</v>
      </c>
      <c r="L79" s="11">
        <v>-3.4799999999999998E-2</v>
      </c>
      <c r="M79" s="4">
        <v>0.10390000000000001</v>
      </c>
      <c r="N79" s="4" t="s">
        <v>465</v>
      </c>
      <c r="O79" s="4" t="s">
        <v>466</v>
      </c>
      <c r="S79" s="134">
        <v>3</v>
      </c>
      <c r="T79" s="134" t="s">
        <v>10</v>
      </c>
      <c r="U79" s="134" t="s">
        <v>13</v>
      </c>
      <c r="V79" s="4" t="s">
        <v>432</v>
      </c>
      <c r="W79" s="134">
        <v>6</v>
      </c>
      <c r="Y79" s="2">
        <v>8</v>
      </c>
      <c r="Z79" s="63">
        <v>0.71350000000000002</v>
      </c>
      <c r="AA79" s="63">
        <v>0.55989999999999995</v>
      </c>
      <c r="AB79" s="2">
        <v>1</v>
      </c>
      <c r="AF79" s="4"/>
      <c r="AG79" s="4"/>
      <c r="AH79" s="4"/>
    </row>
    <row r="80" spans="7:46" ht="15" customHeight="1" x14ac:dyDescent="0.25">
      <c r="G80" s="4">
        <v>5</v>
      </c>
      <c r="H80" s="4" t="s">
        <v>472</v>
      </c>
      <c r="I80" s="4">
        <v>3</v>
      </c>
      <c r="J80" s="4">
        <v>18</v>
      </c>
      <c r="K80" s="11">
        <v>-0.15359999999999999</v>
      </c>
      <c r="L80" s="11">
        <v>-0.26340000000000002</v>
      </c>
      <c r="M80" s="4">
        <v>0.10979999999999999</v>
      </c>
      <c r="N80" s="4" t="s">
        <v>465</v>
      </c>
      <c r="O80" s="4" t="s">
        <v>466</v>
      </c>
      <c r="S80" s="134"/>
      <c r="T80" s="134"/>
      <c r="U80" s="134"/>
      <c r="V80" s="4" t="s">
        <v>20</v>
      </c>
      <c r="W80" s="134"/>
      <c r="Y80" s="2">
        <v>10</v>
      </c>
      <c r="Z80" s="11">
        <v>0.68500000000000005</v>
      </c>
      <c r="AA80" s="11">
        <v>0.71260000000000001</v>
      </c>
      <c r="AB80" s="2">
        <v>1</v>
      </c>
      <c r="AF80" s="4"/>
      <c r="AG80" s="4"/>
      <c r="AH80" s="4"/>
      <c r="AR80" s="4"/>
    </row>
    <row r="81" spans="7:44" ht="15" customHeight="1" x14ac:dyDescent="0.25">
      <c r="G81" s="4">
        <v>6</v>
      </c>
      <c r="H81" s="4" t="s">
        <v>470</v>
      </c>
      <c r="I81" s="4">
        <v>3</v>
      </c>
      <c r="J81" s="4">
        <v>21</v>
      </c>
      <c r="K81" s="11">
        <v>0.23710000000000001</v>
      </c>
      <c r="L81" s="11">
        <v>9.5799999999999996E-2</v>
      </c>
      <c r="M81" s="4">
        <v>0.14130000000000001</v>
      </c>
      <c r="N81" s="4" t="s">
        <v>465</v>
      </c>
      <c r="O81" s="4" t="s">
        <v>466</v>
      </c>
      <c r="S81" s="134"/>
      <c r="T81" s="134"/>
      <c r="U81" s="134"/>
      <c r="V81" s="4" t="s">
        <v>481</v>
      </c>
      <c r="W81" s="134"/>
      <c r="Y81" s="2">
        <v>10</v>
      </c>
      <c r="Z81" s="63">
        <v>0.76580000000000004</v>
      </c>
      <c r="AA81" s="63">
        <v>0.72199999999999998</v>
      </c>
      <c r="AB81" s="2">
        <v>1</v>
      </c>
      <c r="AF81" s="4"/>
      <c r="AG81" s="4"/>
      <c r="AH81" s="4"/>
      <c r="AR81" s="4"/>
    </row>
    <row r="82" spans="7:44" ht="15" customHeight="1" x14ac:dyDescent="0.25">
      <c r="G82" s="4">
        <v>6</v>
      </c>
      <c r="H82" s="4" t="s">
        <v>464</v>
      </c>
      <c r="I82" s="4">
        <v>3</v>
      </c>
      <c r="J82" s="4">
        <v>21</v>
      </c>
      <c r="K82" s="11">
        <v>0.23980000000000001</v>
      </c>
      <c r="L82" s="11">
        <v>9.2100000000000001E-2</v>
      </c>
      <c r="M82" s="4">
        <v>0.14760000000000001</v>
      </c>
      <c r="N82" s="4" t="s">
        <v>465</v>
      </c>
      <c r="O82" s="4" t="s">
        <v>466</v>
      </c>
      <c r="S82" s="134">
        <v>4</v>
      </c>
      <c r="T82" s="134" t="s">
        <v>10</v>
      </c>
      <c r="U82" s="134" t="s">
        <v>14</v>
      </c>
      <c r="V82" s="4" t="s">
        <v>432</v>
      </c>
      <c r="W82" s="134">
        <v>6</v>
      </c>
      <c r="Y82" s="2">
        <v>8</v>
      </c>
      <c r="Z82" s="11">
        <v>0.44190000000000002</v>
      </c>
      <c r="AA82" s="11">
        <v>0.13270000000000001</v>
      </c>
      <c r="AB82" s="2">
        <v>1</v>
      </c>
      <c r="AF82" s="4"/>
      <c r="AG82" s="4"/>
      <c r="AH82" s="4"/>
      <c r="AR82" s="4"/>
    </row>
    <row r="83" spans="7:44" ht="15" customHeight="1" x14ac:dyDescent="0.25">
      <c r="G83" s="4">
        <v>6</v>
      </c>
      <c r="H83" s="4" t="s">
        <v>472</v>
      </c>
      <c r="I83" s="4">
        <v>3</v>
      </c>
      <c r="J83" s="4">
        <v>21</v>
      </c>
      <c r="K83" s="11">
        <v>-7.1300000000000002E-2</v>
      </c>
      <c r="L83" s="11">
        <v>-0.13009999999999999</v>
      </c>
      <c r="M83" s="4">
        <v>5.8799999999999998E-2</v>
      </c>
      <c r="N83" s="4" t="s">
        <v>465</v>
      </c>
      <c r="O83" s="4" t="s">
        <v>466</v>
      </c>
      <c r="S83" s="134"/>
      <c r="T83" s="134"/>
      <c r="U83" s="134"/>
      <c r="V83" s="4" t="s">
        <v>20</v>
      </c>
      <c r="W83" s="134"/>
      <c r="Y83" s="2">
        <v>15</v>
      </c>
      <c r="Z83" s="63">
        <v>0.60350000000000004</v>
      </c>
      <c r="AA83" s="63">
        <v>7.3700000000000002E-2</v>
      </c>
      <c r="AB83" s="2">
        <v>1</v>
      </c>
      <c r="AF83" s="4"/>
      <c r="AG83" s="58"/>
      <c r="AH83" s="4"/>
    </row>
    <row r="84" spans="7:44" ht="15" customHeight="1" x14ac:dyDescent="0.25">
      <c r="G84" s="4">
        <v>7</v>
      </c>
      <c r="H84" s="4" t="s">
        <v>405</v>
      </c>
      <c r="I84" s="4">
        <v>3</v>
      </c>
      <c r="J84" s="4">
        <v>23</v>
      </c>
      <c r="K84" s="11">
        <v>-7.22E-2</v>
      </c>
      <c r="L84" s="11">
        <v>-0.113</v>
      </c>
      <c r="M84" s="4">
        <v>4.0800000000000003E-2</v>
      </c>
      <c r="N84" s="4" t="s">
        <v>467</v>
      </c>
      <c r="O84" s="4" t="s">
        <v>468</v>
      </c>
      <c r="S84" s="134"/>
      <c r="T84" s="134"/>
      <c r="U84" s="134"/>
      <c r="V84" s="4" t="s">
        <v>481</v>
      </c>
      <c r="W84" s="134"/>
      <c r="Y84" s="2">
        <v>15</v>
      </c>
      <c r="Z84" s="11">
        <v>0.54720000000000002</v>
      </c>
      <c r="AA84" s="11">
        <v>-4.4999999999999997E-3</v>
      </c>
      <c r="AB84" s="2">
        <v>1</v>
      </c>
      <c r="AF84" s="4"/>
      <c r="AG84" s="4"/>
      <c r="AH84" s="58"/>
      <c r="AQ84"/>
    </row>
    <row r="85" spans="7:44" ht="15" customHeight="1" x14ac:dyDescent="0.25">
      <c r="G85" s="4">
        <v>7</v>
      </c>
      <c r="H85" s="58">
        <v>0.2</v>
      </c>
      <c r="I85" s="4">
        <v>3</v>
      </c>
      <c r="J85" s="4">
        <v>23</v>
      </c>
      <c r="K85" s="11">
        <v>9.4999999999999998E-3</v>
      </c>
      <c r="L85" s="11">
        <v>-1.6999999999999999E-3</v>
      </c>
      <c r="M85" s="4">
        <v>1.12E-2</v>
      </c>
      <c r="N85" s="4" t="s">
        <v>467</v>
      </c>
      <c r="O85" s="4" t="s">
        <v>468</v>
      </c>
      <c r="S85" s="134">
        <v>5</v>
      </c>
      <c r="T85" s="134" t="s">
        <v>416</v>
      </c>
      <c r="U85" s="4" t="s">
        <v>14</v>
      </c>
      <c r="V85" s="134" t="s">
        <v>416</v>
      </c>
      <c r="W85" s="134">
        <v>5</v>
      </c>
      <c r="Y85" s="2">
        <v>15</v>
      </c>
      <c r="Z85" s="63">
        <v>0.7702</v>
      </c>
      <c r="AA85" s="63">
        <v>0.1961</v>
      </c>
      <c r="AB85" s="2">
        <v>1</v>
      </c>
      <c r="AF85" s="4"/>
      <c r="AG85" s="4"/>
      <c r="AH85" s="4"/>
      <c r="AR85" s="4"/>
    </row>
    <row r="86" spans="7:44" ht="15" customHeight="1" x14ac:dyDescent="0.25">
      <c r="G86" s="4">
        <v>7</v>
      </c>
      <c r="H86" s="58">
        <v>0.2</v>
      </c>
      <c r="I86" s="4">
        <v>3</v>
      </c>
      <c r="J86" s="4">
        <v>23</v>
      </c>
      <c r="K86" s="11">
        <v>5.7000000000000002E-3</v>
      </c>
      <c r="L86" s="11">
        <v>-1.7299999999999999E-2</v>
      </c>
      <c r="M86" s="4">
        <v>2.3E-2</v>
      </c>
      <c r="N86" s="4" t="s">
        <v>467</v>
      </c>
      <c r="O86" s="4" t="s">
        <v>468</v>
      </c>
      <c r="S86" s="134"/>
      <c r="T86" s="134"/>
      <c r="U86" s="4" t="s">
        <v>449</v>
      </c>
      <c r="V86" s="134"/>
      <c r="W86" s="134"/>
      <c r="Y86" s="2">
        <v>15</v>
      </c>
      <c r="Z86" s="11">
        <v>0.77459999999999996</v>
      </c>
      <c r="AA86" s="11">
        <v>0.44569999999999999</v>
      </c>
      <c r="AB86" s="2">
        <v>1</v>
      </c>
      <c r="AF86" s="4"/>
      <c r="AG86" s="4"/>
      <c r="AH86" s="4"/>
      <c r="AR86" s="4"/>
    </row>
    <row r="87" spans="7:44" ht="15" customHeight="1" x14ac:dyDescent="0.25">
      <c r="G87" s="4">
        <v>8</v>
      </c>
      <c r="H87" s="4" t="s">
        <v>469</v>
      </c>
      <c r="I87" s="4">
        <v>3</v>
      </c>
      <c r="J87" s="4">
        <v>22</v>
      </c>
      <c r="K87" s="11">
        <v>0.24979999999999999</v>
      </c>
      <c r="L87" s="11">
        <v>0.1011</v>
      </c>
      <c r="M87" s="4">
        <v>0.1487</v>
      </c>
      <c r="N87" s="4" t="s">
        <v>465</v>
      </c>
      <c r="O87" s="4" t="s">
        <v>466</v>
      </c>
      <c r="S87" s="134"/>
      <c r="T87" s="134"/>
      <c r="U87" s="4" t="s">
        <v>450</v>
      </c>
      <c r="V87" s="134"/>
      <c r="W87" s="134"/>
      <c r="Y87" s="2">
        <v>3</v>
      </c>
      <c r="Z87" s="63">
        <v>9.9599999999999994E-2</v>
      </c>
      <c r="AA87" s="63">
        <v>-0.49209999999999998</v>
      </c>
      <c r="AB87" s="2">
        <v>10</v>
      </c>
      <c r="AF87" s="4"/>
      <c r="AG87" s="4"/>
      <c r="AH87" s="4"/>
      <c r="AR87" s="4"/>
    </row>
    <row r="88" spans="7:44" ht="15" customHeight="1" x14ac:dyDescent="0.25">
      <c r="G88" s="4">
        <v>8</v>
      </c>
      <c r="H88" s="4" t="s">
        <v>393</v>
      </c>
      <c r="I88" s="4">
        <v>3</v>
      </c>
      <c r="J88" s="4">
        <v>22</v>
      </c>
      <c r="K88" s="11">
        <v>0.1235</v>
      </c>
      <c r="L88" s="11">
        <v>-4.24E-2</v>
      </c>
      <c r="M88" s="4">
        <v>0.16600000000000001</v>
      </c>
      <c r="N88" s="4" t="s">
        <v>465</v>
      </c>
      <c r="O88" s="4" t="s">
        <v>471</v>
      </c>
      <c r="S88" s="134">
        <v>6</v>
      </c>
      <c r="T88" s="134" t="s">
        <v>416</v>
      </c>
      <c r="U88" s="4" t="s">
        <v>14</v>
      </c>
      <c r="V88" s="134" t="s">
        <v>416</v>
      </c>
      <c r="W88" s="134">
        <v>6</v>
      </c>
      <c r="Y88" s="2">
        <v>8</v>
      </c>
      <c r="Z88" s="11">
        <v>0.67430000000000001</v>
      </c>
      <c r="AA88" s="11">
        <v>0.52090000000000003</v>
      </c>
      <c r="AB88" s="2">
        <v>1</v>
      </c>
      <c r="AF88" s="4"/>
      <c r="AG88" s="4"/>
      <c r="AH88" s="4"/>
      <c r="AR88" s="4"/>
    </row>
    <row r="89" spans="7:44" ht="15" customHeight="1" x14ac:dyDescent="0.25">
      <c r="G89" s="4">
        <v>8</v>
      </c>
      <c r="H89" s="4" t="s">
        <v>395</v>
      </c>
      <c r="I89" s="4">
        <v>3</v>
      </c>
      <c r="J89" s="4">
        <v>22</v>
      </c>
      <c r="K89" s="11">
        <v>0.1653</v>
      </c>
      <c r="L89" s="11">
        <v>-1.9E-2</v>
      </c>
      <c r="M89" s="4">
        <v>0.18429999999999999</v>
      </c>
      <c r="N89" s="4" t="s">
        <v>465</v>
      </c>
      <c r="O89" s="4" t="s">
        <v>471</v>
      </c>
      <c r="S89" s="134"/>
      <c r="T89" s="134"/>
      <c r="U89" s="4" t="s">
        <v>449</v>
      </c>
      <c r="V89" s="134"/>
      <c r="W89" s="134"/>
      <c r="Y89" s="2">
        <v>8</v>
      </c>
      <c r="Z89" s="63">
        <v>0.69599999999999995</v>
      </c>
      <c r="AA89" s="63">
        <v>0.5867</v>
      </c>
      <c r="AB89" s="2">
        <v>1</v>
      </c>
      <c r="AF89" s="4"/>
      <c r="AG89" s="58"/>
      <c r="AH89" s="4"/>
      <c r="AR89" s="4"/>
    </row>
    <row r="90" spans="7:44" ht="15" customHeight="1" x14ac:dyDescent="0.25">
      <c r="G90" s="4">
        <v>9</v>
      </c>
      <c r="H90" s="4" t="s">
        <v>469</v>
      </c>
      <c r="I90" s="4">
        <v>3</v>
      </c>
      <c r="J90" s="4">
        <v>22</v>
      </c>
      <c r="K90" s="11">
        <v>2.3999999999999998E-3</v>
      </c>
      <c r="L90" s="11">
        <v>1.6899999999999998E-2</v>
      </c>
      <c r="M90" s="4">
        <v>-1.4500000000000001E-2</v>
      </c>
      <c r="N90" s="4" t="s">
        <v>467</v>
      </c>
      <c r="O90" s="4" t="s">
        <v>468</v>
      </c>
      <c r="S90" s="134"/>
      <c r="T90" s="134"/>
      <c r="U90" s="4" t="s">
        <v>450</v>
      </c>
      <c r="V90" s="134"/>
      <c r="W90" s="134"/>
      <c r="Y90" s="2">
        <v>10</v>
      </c>
      <c r="Z90" s="11">
        <v>0.39829999999999999</v>
      </c>
      <c r="AA90" s="11">
        <v>-0.13059999999999999</v>
      </c>
      <c r="AB90" s="2">
        <v>10</v>
      </c>
      <c r="AF90" s="4"/>
      <c r="AG90" s="4"/>
      <c r="AH90" s="4"/>
      <c r="AR90" s="4"/>
    </row>
    <row r="91" spans="7:44" ht="15" customHeight="1" x14ac:dyDescent="0.25">
      <c r="G91" s="4">
        <v>9</v>
      </c>
      <c r="H91" s="4" t="s">
        <v>393</v>
      </c>
      <c r="I91" s="4">
        <v>3</v>
      </c>
      <c r="J91" s="4">
        <v>22</v>
      </c>
      <c r="K91" s="11">
        <v>0.14990000000000001</v>
      </c>
      <c r="L91" s="11">
        <v>4.5499999999999999E-2</v>
      </c>
      <c r="M91" s="4">
        <v>0.10440000000000001</v>
      </c>
      <c r="N91" s="4" t="s">
        <v>465</v>
      </c>
      <c r="O91" s="4" t="s">
        <v>466</v>
      </c>
      <c r="S91" s="134">
        <v>7</v>
      </c>
      <c r="T91" s="134" t="s">
        <v>416</v>
      </c>
      <c r="U91" s="134" t="s">
        <v>14</v>
      </c>
      <c r="V91" s="4" t="s">
        <v>432</v>
      </c>
      <c r="W91" s="134">
        <v>6</v>
      </c>
      <c r="Y91" s="2">
        <v>10</v>
      </c>
      <c r="Z91" s="63">
        <v>0.4607</v>
      </c>
      <c r="AA91" s="63">
        <v>2.7E-2</v>
      </c>
      <c r="AB91" s="2">
        <v>1</v>
      </c>
      <c r="AF91" s="4"/>
      <c r="AG91" s="58"/>
      <c r="AH91" s="4"/>
    </row>
    <row r="92" spans="7:44" ht="15" customHeight="1" x14ac:dyDescent="0.25">
      <c r="G92" s="4">
        <v>9</v>
      </c>
      <c r="H92" s="4" t="s">
        <v>395</v>
      </c>
      <c r="I92" s="4">
        <v>3</v>
      </c>
      <c r="J92" s="4">
        <v>22</v>
      </c>
      <c r="K92" s="11">
        <v>7.8899999999999998E-2</v>
      </c>
      <c r="L92" s="11">
        <v>4.7000000000000002E-3</v>
      </c>
      <c r="M92" s="4">
        <v>7.4200000000000002E-2</v>
      </c>
      <c r="N92" s="4" t="s">
        <v>465</v>
      </c>
      <c r="O92" s="4" t="s">
        <v>466</v>
      </c>
      <c r="S92" s="134"/>
      <c r="T92" s="134"/>
      <c r="U92" s="134"/>
      <c r="V92" s="4" t="s">
        <v>20</v>
      </c>
      <c r="W92" s="134"/>
      <c r="Y92" s="2">
        <v>15</v>
      </c>
      <c r="Z92" s="11">
        <v>0.70940000000000003</v>
      </c>
      <c r="AA92" s="11">
        <v>0.72660000000000002</v>
      </c>
      <c r="AB92" s="2">
        <v>1</v>
      </c>
      <c r="AF92" s="4"/>
      <c r="AG92" s="58"/>
      <c r="AH92" s="4"/>
      <c r="AR92" s="4"/>
    </row>
    <row r="93" spans="7:44" ht="15" customHeight="1" x14ac:dyDescent="0.25">
      <c r="S93" s="134"/>
      <c r="T93" s="134"/>
      <c r="U93" s="134"/>
      <c r="V93" s="4" t="s">
        <v>481</v>
      </c>
      <c r="W93" s="134"/>
      <c r="Y93" s="2">
        <v>15</v>
      </c>
      <c r="Z93" s="63">
        <v>0.63249999999999995</v>
      </c>
      <c r="AA93" s="63">
        <v>0.73199999999999998</v>
      </c>
      <c r="AB93" s="2">
        <v>1</v>
      </c>
      <c r="AF93" s="4"/>
      <c r="AG93" s="4"/>
      <c r="AH93" s="4"/>
      <c r="AR93" s="4"/>
    </row>
    <row r="94" spans="7:44" ht="15" customHeight="1" x14ac:dyDescent="0.25">
      <c r="S94" s="134">
        <v>8</v>
      </c>
      <c r="T94" s="134" t="s">
        <v>11</v>
      </c>
      <c r="U94" s="134" t="s">
        <v>17</v>
      </c>
      <c r="V94" s="4" t="s">
        <v>432</v>
      </c>
      <c r="W94" s="134">
        <v>6</v>
      </c>
      <c r="Y94" s="2">
        <v>12</v>
      </c>
      <c r="Z94" s="11">
        <v>0.7873</v>
      </c>
      <c r="AA94" s="11">
        <v>0.61360000000000003</v>
      </c>
      <c r="AB94" s="2">
        <v>5</v>
      </c>
      <c r="AF94" s="4"/>
      <c r="AG94" s="4"/>
      <c r="AH94" s="4"/>
    </row>
    <row r="95" spans="7:44" ht="15" customHeight="1" x14ac:dyDescent="0.25">
      <c r="S95" s="134"/>
      <c r="T95" s="134"/>
      <c r="U95" s="134"/>
      <c r="V95" s="4" t="s">
        <v>20</v>
      </c>
      <c r="W95" s="134"/>
      <c r="Y95" s="2">
        <v>20</v>
      </c>
      <c r="Z95" s="63">
        <v>0.74160000000000004</v>
      </c>
      <c r="AA95" s="63">
        <v>0.53349999999999997</v>
      </c>
      <c r="AB95" s="2">
        <v>1</v>
      </c>
      <c r="AF95" s="4"/>
      <c r="AG95" s="4"/>
      <c r="AH95" s="4"/>
    </row>
    <row r="96" spans="7:44" ht="15" customHeight="1" x14ac:dyDescent="0.25">
      <c r="S96" s="134"/>
      <c r="T96" s="134"/>
      <c r="U96" s="134"/>
      <c r="V96" s="4" t="s">
        <v>481</v>
      </c>
      <c r="W96" s="134"/>
      <c r="Y96" s="2">
        <v>10</v>
      </c>
      <c r="Z96" s="11">
        <v>0.60860000000000003</v>
      </c>
      <c r="AA96" s="11">
        <v>0.22739999999999999</v>
      </c>
      <c r="AB96" s="2">
        <v>1</v>
      </c>
      <c r="AF96" s="4"/>
      <c r="AG96" s="4"/>
      <c r="AH96" s="4"/>
      <c r="AQ96"/>
    </row>
    <row r="97" spans="19:43" ht="15" customHeight="1" x14ac:dyDescent="0.25">
      <c r="S97" s="134">
        <v>9</v>
      </c>
      <c r="T97" s="134" t="s">
        <v>11</v>
      </c>
      <c r="U97" s="134" t="s">
        <v>14</v>
      </c>
      <c r="V97" s="4" t="s">
        <v>432</v>
      </c>
      <c r="W97" s="134">
        <v>6</v>
      </c>
      <c r="Y97" s="2">
        <v>8</v>
      </c>
      <c r="Z97" s="63">
        <v>0.52590000000000003</v>
      </c>
      <c r="AA97" s="63">
        <v>0.30559999999999998</v>
      </c>
      <c r="AB97" s="2">
        <v>1</v>
      </c>
      <c r="AF97" s="4"/>
      <c r="AG97" s="4"/>
      <c r="AH97" s="4"/>
    </row>
    <row r="98" spans="19:43" ht="15" customHeight="1" x14ac:dyDescent="0.25">
      <c r="S98" s="134"/>
      <c r="T98" s="134"/>
      <c r="U98" s="134"/>
      <c r="V98" s="4" t="s">
        <v>20</v>
      </c>
      <c r="W98" s="134"/>
      <c r="Y98" s="2">
        <v>15</v>
      </c>
      <c r="Z98" s="11">
        <v>0.72030000000000005</v>
      </c>
      <c r="AA98" s="11">
        <v>0.41799999999999998</v>
      </c>
      <c r="AB98" s="2">
        <v>1</v>
      </c>
      <c r="AF98" s="4"/>
      <c r="AG98" s="4"/>
      <c r="AH98" s="4"/>
    </row>
    <row r="99" spans="19:43" ht="15" customHeight="1" x14ac:dyDescent="0.25">
      <c r="S99" s="134"/>
      <c r="T99" s="134"/>
      <c r="U99" s="134"/>
      <c r="V99" s="4" t="s">
        <v>481</v>
      </c>
      <c r="W99" s="134"/>
      <c r="Y99" s="2">
        <v>12</v>
      </c>
      <c r="Z99" s="64">
        <v>0.69230000000000003</v>
      </c>
      <c r="AA99" s="64">
        <v>0.39929999999999999</v>
      </c>
      <c r="AB99" s="2">
        <v>1</v>
      </c>
      <c r="AQ99"/>
    </row>
    <row r="100" spans="19:43" x14ac:dyDescent="0.25">
      <c r="AQ100"/>
    </row>
  </sheetData>
  <mergeCells count="45">
    <mergeCell ref="W85:W87"/>
    <mergeCell ref="W88:W90"/>
    <mergeCell ref="W91:W93"/>
    <mergeCell ref="W94:W96"/>
    <mergeCell ref="W97:W99"/>
    <mergeCell ref="U94:U96"/>
    <mergeCell ref="U97:U99"/>
    <mergeCell ref="S97:S99"/>
    <mergeCell ref="T88:T90"/>
    <mergeCell ref="T91:T93"/>
    <mergeCell ref="T94:T96"/>
    <mergeCell ref="T97:T99"/>
    <mergeCell ref="S88:S90"/>
    <mergeCell ref="U91:U93"/>
    <mergeCell ref="V85:V87"/>
    <mergeCell ref="V88:V90"/>
    <mergeCell ref="S91:S93"/>
    <mergeCell ref="S94:S96"/>
    <mergeCell ref="T85:T87"/>
    <mergeCell ref="S73:S75"/>
    <mergeCell ref="S76:S78"/>
    <mergeCell ref="S79:S81"/>
    <mergeCell ref="S82:S84"/>
    <mergeCell ref="S85:S87"/>
    <mergeCell ref="AU33:AV33"/>
    <mergeCell ref="T73:T75"/>
    <mergeCell ref="T76:T78"/>
    <mergeCell ref="T79:T81"/>
    <mergeCell ref="T82:T84"/>
    <mergeCell ref="U73:U75"/>
    <mergeCell ref="U76:U78"/>
    <mergeCell ref="U79:U81"/>
    <mergeCell ref="U82:U84"/>
    <mergeCell ref="W73:W75"/>
    <mergeCell ref="W76:W78"/>
    <mergeCell ref="W79:W81"/>
    <mergeCell ref="W82:W84"/>
    <mergeCell ref="K33:L33"/>
    <mergeCell ref="T33:U33"/>
    <mergeCell ref="AC33:AD33"/>
    <mergeCell ref="AL33:AM33"/>
    <mergeCell ref="K2:L2"/>
    <mergeCell ref="T2:U2"/>
    <mergeCell ref="AC2:AD2"/>
    <mergeCell ref="AL2:AM2"/>
  </mergeCells>
  <conditionalFormatting sqref="D2:D28">
    <cfRule type="colorScale" priority="4">
      <colorScale>
        <cfvo type="num" val="0.3"/>
        <cfvo type="num" val="0.6"/>
        <cfvo type="num" val="0.9"/>
        <color rgb="FFF8696B"/>
        <color rgb="FFFFC000"/>
        <color rgb="FF63BE7B"/>
      </colorScale>
    </cfRule>
  </conditionalFormatting>
  <conditionalFormatting sqref="T4:T30 K4:K30 AC4:AC29 AC30 AL4:AL30 K35:K60 K61 T35:T61 AC35:AC61 AL35:AL61 AU35:AU61">
    <cfRule type="colorScale" priority="3">
      <colorScale>
        <cfvo type="num" val="0.3"/>
        <cfvo type="num" val="0.5"/>
        <cfvo type="num" val="0.9"/>
        <color rgb="FFF8696B"/>
        <color rgb="FFFFC000"/>
        <color rgb="FF00B050"/>
      </colorScale>
    </cfRule>
  </conditionalFormatting>
  <conditionalFormatting sqref="U4:U30 L4:L30 AD4:AD30 AM4:AM30 L35:L61 U35:U61 AD35:AD61 AM35:AM61 AV35:AV61">
    <cfRule type="colorScale" priority="2">
      <colorScale>
        <cfvo type="num" val="0.3"/>
        <cfvo type="num" val="0.5"/>
        <cfvo type="num" val="0.9"/>
        <color rgb="FFF8696B"/>
        <color rgb="FFFFEB84"/>
        <color rgb="FF63BE7B"/>
      </colorScale>
    </cfRule>
  </conditionalFormatting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7026-4690-45A4-A8E6-4B3A1263D670}">
  <dimension ref="A9:AK133"/>
  <sheetViews>
    <sheetView topLeftCell="A31" zoomScale="85" zoomScaleNormal="85" workbookViewId="0">
      <selection activeCell="B75" sqref="B75"/>
    </sheetView>
  </sheetViews>
  <sheetFormatPr defaultRowHeight="15" x14ac:dyDescent="0.25"/>
  <cols>
    <col min="1" max="1" width="12.5703125" style="4" customWidth="1"/>
    <col min="2" max="2" width="44.42578125" style="4" customWidth="1"/>
    <col min="3" max="3" width="31.28515625" style="4" customWidth="1"/>
    <col min="4" max="4" width="14.140625" style="4" customWidth="1"/>
    <col min="5" max="5" width="15.42578125" style="4" customWidth="1"/>
    <col min="6" max="6" width="11.7109375" style="4" customWidth="1"/>
    <col min="7" max="7" width="12" style="4" customWidth="1"/>
    <col min="8" max="8" width="12.7109375" style="4" customWidth="1"/>
    <col min="9" max="9" width="8.42578125" style="4" customWidth="1"/>
    <col min="10" max="10" width="10.140625" style="4" customWidth="1"/>
    <col min="11" max="11" width="12.140625" style="4" customWidth="1"/>
    <col min="12" max="12" width="21.5703125" style="4" customWidth="1"/>
    <col min="13" max="13" width="15" style="4" customWidth="1"/>
    <col min="14" max="14" width="11.140625" style="4" customWidth="1"/>
    <col min="15" max="15" width="7.28515625" style="4" customWidth="1"/>
    <col min="16" max="16" width="8.140625" style="4" customWidth="1"/>
    <col min="17" max="17" width="7.7109375" style="4" customWidth="1"/>
    <col min="18" max="18" width="8.42578125" style="4" customWidth="1"/>
    <col min="19" max="19" width="13.85546875" style="4" customWidth="1"/>
    <col min="20" max="20" width="5.28515625" customWidth="1"/>
    <col min="21" max="21" width="12.28515625" customWidth="1"/>
    <col min="22" max="22" width="14.7109375" customWidth="1"/>
    <col min="23" max="23" width="4.5703125" customWidth="1"/>
    <col min="24" max="24" width="9.28515625" customWidth="1"/>
    <col min="25" max="25" width="10.28515625" customWidth="1"/>
    <col min="26" max="26" width="15.140625" customWidth="1"/>
    <col min="27" max="27" width="11" customWidth="1"/>
    <col min="28" max="28" width="6.5703125" customWidth="1"/>
    <col min="29" max="29" width="9.140625" customWidth="1"/>
    <col min="30" max="30" width="8.140625" customWidth="1"/>
    <col min="31" max="31" width="7.85546875" customWidth="1"/>
    <col min="32" max="32" width="6.7109375" customWidth="1"/>
    <col min="33" max="36" width="10.5703125" customWidth="1"/>
    <col min="37" max="37" width="11.5703125" customWidth="1"/>
  </cols>
  <sheetData>
    <row r="9" spans="6:14" x14ac:dyDescent="0.25">
      <c r="F9" s="4" t="s">
        <v>400</v>
      </c>
      <c r="G9" s="4" t="s">
        <v>430</v>
      </c>
      <c r="H9" s="4" t="s">
        <v>396</v>
      </c>
      <c r="I9" s="4" t="s">
        <v>488</v>
      </c>
      <c r="J9" s="4" t="s">
        <v>398</v>
      </c>
      <c r="K9" s="4" t="s">
        <v>399</v>
      </c>
      <c r="L9" s="4" t="s">
        <v>487</v>
      </c>
      <c r="M9" s="4" t="s">
        <v>485</v>
      </c>
      <c r="N9" s="4" t="s">
        <v>486</v>
      </c>
    </row>
    <row r="10" spans="6:14" x14ac:dyDescent="0.25">
      <c r="F10" s="4">
        <v>1</v>
      </c>
      <c r="G10" s="4" t="s">
        <v>469</v>
      </c>
      <c r="H10" s="4">
        <v>1</v>
      </c>
      <c r="I10" s="4">
        <v>8</v>
      </c>
      <c r="J10" s="11">
        <v>0</v>
      </c>
      <c r="K10" s="11">
        <v>0.9</v>
      </c>
      <c r="L10" s="4">
        <v>41</v>
      </c>
      <c r="M10" s="4">
        <v>0.68330000000000002</v>
      </c>
      <c r="N10" s="4">
        <v>0.5403</v>
      </c>
    </row>
    <row r="11" spans="6:14" x14ac:dyDescent="0.25">
      <c r="F11" s="4">
        <v>1</v>
      </c>
      <c r="G11" s="4" t="s">
        <v>394</v>
      </c>
      <c r="H11" s="4">
        <v>1</v>
      </c>
      <c r="I11" s="4">
        <v>15</v>
      </c>
      <c r="J11" s="11">
        <v>0</v>
      </c>
      <c r="K11" s="11">
        <v>0.97</v>
      </c>
      <c r="L11" s="4">
        <v>64</v>
      </c>
      <c r="M11" s="4">
        <v>0.72189999999999999</v>
      </c>
      <c r="N11" s="4">
        <v>0.71189999999999998</v>
      </c>
    </row>
    <row r="12" spans="6:14" x14ac:dyDescent="0.25">
      <c r="F12" s="4">
        <v>1</v>
      </c>
      <c r="G12" s="4" t="s">
        <v>393</v>
      </c>
      <c r="H12" s="4">
        <v>1</v>
      </c>
      <c r="I12" s="4">
        <v>8</v>
      </c>
      <c r="J12" s="11">
        <v>0</v>
      </c>
      <c r="K12" s="11">
        <v>0.9</v>
      </c>
      <c r="L12" s="4">
        <v>41</v>
      </c>
      <c r="M12" s="4">
        <v>0.73529999999999995</v>
      </c>
      <c r="N12" s="4">
        <v>0.67800000000000005</v>
      </c>
    </row>
    <row r="13" spans="6:14" x14ac:dyDescent="0.25">
      <c r="F13" s="4">
        <v>2</v>
      </c>
      <c r="G13" s="4" t="s">
        <v>469</v>
      </c>
      <c r="H13" s="4">
        <v>1</v>
      </c>
      <c r="I13" s="4">
        <v>8</v>
      </c>
      <c r="J13" s="11">
        <v>0</v>
      </c>
      <c r="K13" s="11">
        <v>0.85</v>
      </c>
      <c r="L13" s="4">
        <v>36</v>
      </c>
      <c r="M13" s="4">
        <v>0.44140000000000001</v>
      </c>
      <c r="N13" s="4">
        <v>0.13539999999999999</v>
      </c>
    </row>
    <row r="14" spans="6:14" x14ac:dyDescent="0.25">
      <c r="F14" s="4">
        <v>2</v>
      </c>
      <c r="G14" s="4" t="s">
        <v>394</v>
      </c>
      <c r="H14" s="4">
        <v>5</v>
      </c>
      <c r="I14" s="4">
        <v>10</v>
      </c>
      <c r="J14" s="11">
        <v>0</v>
      </c>
      <c r="K14" s="11">
        <v>0.95</v>
      </c>
      <c r="L14" s="4">
        <v>56</v>
      </c>
      <c r="M14" s="4">
        <v>0.48180000000000001</v>
      </c>
      <c r="N14" s="4">
        <v>1.09E-2</v>
      </c>
    </row>
    <row r="15" spans="6:14" x14ac:dyDescent="0.25">
      <c r="F15" s="4">
        <v>2</v>
      </c>
      <c r="G15" s="4" t="s">
        <v>393</v>
      </c>
      <c r="H15" s="4">
        <v>1</v>
      </c>
      <c r="I15" s="4">
        <v>8</v>
      </c>
      <c r="J15" s="11">
        <v>0</v>
      </c>
      <c r="K15" s="11">
        <v>0.85</v>
      </c>
      <c r="L15" s="4">
        <v>36</v>
      </c>
      <c r="M15" s="4">
        <v>0.51139999999999997</v>
      </c>
      <c r="N15" s="4">
        <v>0.22969999999999999</v>
      </c>
    </row>
    <row r="16" spans="6:14" x14ac:dyDescent="0.25">
      <c r="F16" s="4">
        <v>3</v>
      </c>
      <c r="G16" s="4" t="s">
        <v>469</v>
      </c>
      <c r="H16" s="4">
        <v>1</v>
      </c>
      <c r="I16" s="4">
        <v>8</v>
      </c>
      <c r="J16" s="11">
        <v>0</v>
      </c>
      <c r="K16" s="11">
        <v>0.9</v>
      </c>
      <c r="L16" s="4">
        <v>41</v>
      </c>
      <c r="M16" s="4">
        <v>0.71350000000000002</v>
      </c>
      <c r="N16" s="4">
        <v>0.55989999999999995</v>
      </c>
    </row>
    <row r="17" spans="6:14" x14ac:dyDescent="0.25">
      <c r="F17" s="4">
        <v>3</v>
      </c>
      <c r="G17" s="4" t="s">
        <v>394</v>
      </c>
      <c r="H17" s="4">
        <v>1</v>
      </c>
      <c r="I17" s="4">
        <v>10</v>
      </c>
      <c r="J17" s="11">
        <v>0</v>
      </c>
      <c r="K17" s="11">
        <v>0.97</v>
      </c>
      <c r="L17" s="4">
        <v>64</v>
      </c>
      <c r="M17" s="4">
        <v>0.68500000000000005</v>
      </c>
      <c r="N17" s="4">
        <v>0.71260000000000001</v>
      </c>
    </row>
    <row r="18" spans="6:14" x14ac:dyDescent="0.25">
      <c r="F18" s="4">
        <v>3</v>
      </c>
      <c r="G18" s="4" t="s">
        <v>393</v>
      </c>
      <c r="H18" s="4">
        <v>1</v>
      </c>
      <c r="I18" s="4">
        <v>10</v>
      </c>
      <c r="J18" s="11">
        <v>0</v>
      </c>
      <c r="K18" s="11">
        <v>0.97</v>
      </c>
      <c r="L18" s="4">
        <v>64</v>
      </c>
      <c r="M18" s="4">
        <v>0.76580000000000004</v>
      </c>
      <c r="N18" s="4">
        <v>0.72199999999999998</v>
      </c>
    </row>
    <row r="19" spans="6:14" x14ac:dyDescent="0.25">
      <c r="F19" s="4">
        <v>4</v>
      </c>
      <c r="G19" s="4" t="s">
        <v>469</v>
      </c>
      <c r="H19" s="4">
        <v>1</v>
      </c>
      <c r="I19" s="4">
        <v>8</v>
      </c>
      <c r="J19" s="11">
        <v>0</v>
      </c>
      <c r="K19" s="11">
        <v>0.85</v>
      </c>
      <c r="L19" s="4">
        <v>36</v>
      </c>
      <c r="M19" s="4">
        <v>0.44190000000000002</v>
      </c>
      <c r="N19" s="4">
        <v>0.13270000000000001</v>
      </c>
    </row>
    <row r="20" spans="6:14" x14ac:dyDescent="0.25">
      <c r="F20" s="4">
        <v>4</v>
      </c>
      <c r="G20" s="4" t="s">
        <v>394</v>
      </c>
      <c r="H20" s="4">
        <v>1</v>
      </c>
      <c r="I20" s="4">
        <v>15</v>
      </c>
      <c r="J20" s="11"/>
      <c r="K20" s="11"/>
      <c r="M20" s="4">
        <v>0.60350000000000004</v>
      </c>
      <c r="N20" s="4">
        <v>7.3700000000000002E-2</v>
      </c>
    </row>
    <row r="21" spans="6:14" x14ac:dyDescent="0.25">
      <c r="F21" s="4">
        <v>4</v>
      </c>
      <c r="G21" s="4" t="s">
        <v>393</v>
      </c>
      <c r="H21" s="4">
        <v>1</v>
      </c>
      <c r="I21" s="4">
        <v>15</v>
      </c>
      <c r="J21" s="11"/>
      <c r="K21" s="11"/>
      <c r="M21" s="4">
        <v>0.54720000000000002</v>
      </c>
      <c r="N21" s="4">
        <v>-4.4999999999999997E-3</v>
      </c>
    </row>
    <row r="22" spans="6:14" x14ac:dyDescent="0.25">
      <c r="F22" s="4">
        <v>5</v>
      </c>
      <c r="G22" s="4" t="s">
        <v>470</v>
      </c>
      <c r="H22" s="4">
        <v>1</v>
      </c>
      <c r="I22" s="4">
        <v>15</v>
      </c>
      <c r="J22" s="11"/>
      <c r="K22" s="11"/>
      <c r="M22" s="4">
        <v>0.7702</v>
      </c>
      <c r="N22" s="4">
        <v>0.1961</v>
      </c>
    </row>
    <row r="23" spans="6:14" x14ac:dyDescent="0.25">
      <c r="F23" s="4">
        <v>5</v>
      </c>
      <c r="G23" s="4" t="s">
        <v>464</v>
      </c>
      <c r="H23" s="4">
        <v>1</v>
      </c>
      <c r="I23" s="4">
        <v>15</v>
      </c>
      <c r="J23" s="11"/>
      <c r="K23" s="11"/>
      <c r="M23" s="4">
        <v>0.77459999999999996</v>
      </c>
      <c r="N23" s="4">
        <v>0.44569999999999999</v>
      </c>
    </row>
    <row r="24" spans="6:14" x14ac:dyDescent="0.25">
      <c r="F24" s="4">
        <v>5</v>
      </c>
      <c r="G24" s="4" t="s">
        <v>472</v>
      </c>
      <c r="H24" s="4">
        <v>10</v>
      </c>
      <c r="I24" s="4">
        <v>3</v>
      </c>
      <c r="J24" s="11"/>
      <c r="K24" s="11"/>
      <c r="M24" s="4">
        <v>9.9599999999999994E-2</v>
      </c>
      <c r="N24" s="4">
        <v>-0.49209999999999998</v>
      </c>
    </row>
    <row r="25" spans="6:14" x14ac:dyDescent="0.25">
      <c r="F25" s="4">
        <v>6</v>
      </c>
      <c r="G25" s="4" t="s">
        <v>470</v>
      </c>
      <c r="H25" s="4">
        <v>1</v>
      </c>
      <c r="I25" s="4">
        <v>8</v>
      </c>
      <c r="J25" s="11"/>
      <c r="K25" s="11"/>
      <c r="M25" s="4">
        <v>0.67430000000000001</v>
      </c>
      <c r="N25" s="4">
        <v>0.52090000000000003</v>
      </c>
    </row>
    <row r="26" spans="6:14" x14ac:dyDescent="0.25">
      <c r="F26" s="4">
        <v>6</v>
      </c>
      <c r="G26" s="4" t="s">
        <v>464</v>
      </c>
      <c r="H26" s="4">
        <v>1</v>
      </c>
      <c r="I26" s="4">
        <v>8</v>
      </c>
      <c r="J26" s="11"/>
      <c r="K26" s="11"/>
      <c r="M26" s="4">
        <v>0.69599999999999995</v>
      </c>
      <c r="N26" s="4">
        <v>0.5867</v>
      </c>
    </row>
    <row r="27" spans="6:14" x14ac:dyDescent="0.25">
      <c r="F27" s="4">
        <v>6</v>
      </c>
      <c r="G27" s="4" t="s">
        <v>472</v>
      </c>
      <c r="H27" s="4">
        <v>10</v>
      </c>
      <c r="I27" s="4">
        <v>10</v>
      </c>
      <c r="J27" s="11"/>
      <c r="K27" s="11"/>
      <c r="M27" s="4">
        <v>0.39829999999999999</v>
      </c>
      <c r="N27" s="4">
        <v>-0.13059999999999999</v>
      </c>
    </row>
    <row r="28" spans="6:14" x14ac:dyDescent="0.25">
      <c r="F28" s="4">
        <v>7</v>
      </c>
      <c r="G28" s="4" t="s">
        <v>405</v>
      </c>
      <c r="H28" s="4">
        <v>1</v>
      </c>
      <c r="I28" s="4">
        <v>10</v>
      </c>
      <c r="J28" s="11"/>
      <c r="K28" s="11"/>
      <c r="M28" s="4">
        <v>0.4607</v>
      </c>
      <c r="N28" s="4">
        <v>2.7E-2</v>
      </c>
    </row>
    <row r="29" spans="6:14" x14ac:dyDescent="0.25">
      <c r="F29" s="4">
        <v>7</v>
      </c>
      <c r="G29" s="58">
        <v>0.2</v>
      </c>
      <c r="H29" s="4">
        <v>1</v>
      </c>
      <c r="I29" s="4">
        <v>15</v>
      </c>
      <c r="J29" s="11"/>
      <c r="K29" s="11"/>
      <c r="M29" s="4">
        <v>0.70940000000000003</v>
      </c>
      <c r="N29" s="4">
        <v>0.72660000000000002</v>
      </c>
    </row>
    <row r="30" spans="6:14" x14ac:dyDescent="0.25">
      <c r="F30" s="4">
        <v>7</v>
      </c>
      <c r="G30" s="58">
        <v>0.2</v>
      </c>
      <c r="H30" s="4">
        <v>1</v>
      </c>
      <c r="I30" s="4">
        <v>15</v>
      </c>
      <c r="J30" s="11"/>
      <c r="K30" s="11"/>
      <c r="M30" s="4">
        <v>0.63249999999999995</v>
      </c>
      <c r="N30" s="4">
        <v>0.73199999999999998</v>
      </c>
    </row>
    <row r="31" spans="6:14" x14ac:dyDescent="0.25">
      <c r="F31" s="4">
        <v>8</v>
      </c>
      <c r="G31" s="4" t="s">
        <v>469</v>
      </c>
      <c r="H31" s="4">
        <v>5</v>
      </c>
      <c r="I31" s="4">
        <v>12</v>
      </c>
      <c r="J31" s="11"/>
      <c r="K31" s="11"/>
      <c r="M31" s="4">
        <v>0.7873</v>
      </c>
      <c r="N31" s="4">
        <v>0.61360000000000003</v>
      </c>
    </row>
    <row r="32" spans="6:14" x14ac:dyDescent="0.25">
      <c r="F32" s="4">
        <v>8</v>
      </c>
      <c r="G32" s="4" t="s">
        <v>393</v>
      </c>
      <c r="H32" s="4">
        <v>1</v>
      </c>
      <c r="I32" s="4">
        <v>20</v>
      </c>
      <c r="J32" s="11"/>
      <c r="K32" s="11"/>
      <c r="M32" s="4">
        <v>0.74160000000000004</v>
      </c>
      <c r="N32" s="4">
        <v>0.53349999999999997</v>
      </c>
    </row>
    <row r="33" spans="6:14" x14ac:dyDescent="0.25">
      <c r="F33" s="4">
        <v>8</v>
      </c>
      <c r="G33" s="4" t="s">
        <v>395</v>
      </c>
      <c r="H33" s="4">
        <v>1</v>
      </c>
      <c r="I33" s="4">
        <v>10</v>
      </c>
      <c r="J33" s="11"/>
      <c r="K33" s="11"/>
      <c r="M33" s="4">
        <v>0.60860000000000003</v>
      </c>
      <c r="N33" s="4">
        <v>0.22739999999999999</v>
      </c>
    </row>
    <row r="34" spans="6:14" x14ac:dyDescent="0.25">
      <c r="F34" s="4">
        <v>9</v>
      </c>
      <c r="G34" s="4" t="s">
        <v>469</v>
      </c>
      <c r="H34" s="4">
        <v>1</v>
      </c>
      <c r="I34" s="4">
        <v>8</v>
      </c>
      <c r="J34" s="11"/>
      <c r="K34" s="11"/>
      <c r="M34" s="4">
        <v>0.52590000000000003</v>
      </c>
      <c r="N34" s="4">
        <v>0.30559999999999998</v>
      </c>
    </row>
    <row r="35" spans="6:14" x14ac:dyDescent="0.25">
      <c r="F35" s="4">
        <v>9</v>
      </c>
      <c r="G35" s="4" t="s">
        <v>393</v>
      </c>
      <c r="H35" s="4">
        <v>1</v>
      </c>
      <c r="I35" s="4">
        <v>15</v>
      </c>
      <c r="J35" s="11"/>
      <c r="K35" s="11"/>
      <c r="M35" s="4">
        <v>0.72030000000000005</v>
      </c>
      <c r="N35" s="4">
        <v>0.41799999999999998</v>
      </c>
    </row>
    <row r="36" spans="6:14" x14ac:dyDescent="0.25">
      <c r="F36" s="4">
        <v>9</v>
      </c>
      <c r="G36" s="4" t="s">
        <v>395</v>
      </c>
      <c r="H36" s="4">
        <v>1</v>
      </c>
      <c r="I36" s="4">
        <v>12</v>
      </c>
      <c r="J36" s="11"/>
      <c r="K36" s="11"/>
      <c r="M36" s="4">
        <v>0.69230000000000003</v>
      </c>
      <c r="N36" s="4">
        <v>0.39929999999999999</v>
      </c>
    </row>
    <row r="69" spans="1:32" x14ac:dyDescent="0.25">
      <c r="A69" s="69" t="s">
        <v>489</v>
      </c>
      <c r="B69" s="69" t="s">
        <v>490</v>
      </c>
      <c r="C69" s="69" t="s">
        <v>391</v>
      </c>
      <c r="D69" s="69" t="s">
        <v>491</v>
      </c>
      <c r="E69" s="69" t="s">
        <v>397</v>
      </c>
      <c r="F69" s="69" t="s">
        <v>396</v>
      </c>
      <c r="G69" s="69" t="s">
        <v>398</v>
      </c>
      <c r="H69" s="69" t="s">
        <v>399</v>
      </c>
      <c r="I69" s="69" t="s">
        <v>484</v>
      </c>
      <c r="J69" s="69" t="s">
        <v>492</v>
      </c>
      <c r="K69" s="69" t="s">
        <v>487</v>
      </c>
      <c r="L69" s="69" t="s">
        <v>493</v>
      </c>
      <c r="M69" s="69" t="s">
        <v>494</v>
      </c>
      <c r="N69" s="69" t="s">
        <v>495</v>
      </c>
      <c r="O69" s="69" t="s">
        <v>496</v>
      </c>
      <c r="P69" s="69" t="s">
        <v>497</v>
      </c>
      <c r="Q69" s="69" t="s">
        <v>498</v>
      </c>
      <c r="R69" s="69" t="s">
        <v>499</v>
      </c>
      <c r="S69" s="69" t="s">
        <v>392</v>
      </c>
    </row>
    <row r="70" spans="1:32" x14ac:dyDescent="0.25">
      <c r="A70" s="2">
        <v>8</v>
      </c>
      <c r="B70" s="2" t="s">
        <v>509</v>
      </c>
      <c r="C70" s="2" t="s">
        <v>469</v>
      </c>
      <c r="D70" s="2">
        <v>0</v>
      </c>
      <c r="E70" s="2">
        <v>11</v>
      </c>
      <c r="F70" s="2">
        <v>1</v>
      </c>
      <c r="G70" s="2">
        <v>0</v>
      </c>
      <c r="H70" s="2">
        <v>0.97</v>
      </c>
      <c r="I70" s="2">
        <v>22</v>
      </c>
      <c r="J70" s="2">
        <v>14</v>
      </c>
      <c r="K70" s="2">
        <v>65</v>
      </c>
      <c r="L70" s="12">
        <v>0.81193919164464001</v>
      </c>
      <c r="M70" s="12">
        <v>0.66261922764475001</v>
      </c>
      <c r="N70" s="66">
        <v>2.6383889392489299E-2</v>
      </c>
      <c r="O70" s="66">
        <v>3.8538653103060302E-2</v>
      </c>
      <c r="P70" s="2">
        <v>0</v>
      </c>
      <c r="Q70" s="2">
        <v>0</v>
      </c>
      <c r="R70" s="2">
        <v>0.149319963999889</v>
      </c>
      <c r="S70" s="2">
        <v>5</v>
      </c>
      <c r="X70" s="95" t="s">
        <v>489</v>
      </c>
      <c r="Y70" s="96" t="s">
        <v>3</v>
      </c>
      <c r="Z70" s="96" t="s">
        <v>391</v>
      </c>
      <c r="AA70" s="96" t="s">
        <v>397</v>
      </c>
      <c r="AB70" s="96" t="s">
        <v>396</v>
      </c>
      <c r="AC70" s="96" t="s">
        <v>512</v>
      </c>
      <c r="AD70" s="96" t="s">
        <v>529</v>
      </c>
      <c r="AE70" s="96" t="s">
        <v>435</v>
      </c>
      <c r="AF70" s="97" t="s">
        <v>392</v>
      </c>
    </row>
    <row r="71" spans="1:32" x14ac:dyDescent="0.25">
      <c r="A71" s="2">
        <v>5</v>
      </c>
      <c r="B71" s="2" t="s">
        <v>504</v>
      </c>
      <c r="C71" s="2" t="s">
        <v>16</v>
      </c>
      <c r="D71" s="2">
        <v>2</v>
      </c>
      <c r="E71" s="2">
        <v>15</v>
      </c>
      <c r="F71" s="2">
        <v>1</v>
      </c>
      <c r="G71" s="2">
        <v>0</v>
      </c>
      <c r="H71" s="2">
        <v>0.99</v>
      </c>
      <c r="I71" s="2">
        <v>18</v>
      </c>
      <c r="J71" s="2">
        <v>12</v>
      </c>
      <c r="K71" s="2">
        <v>80</v>
      </c>
      <c r="L71" s="12">
        <v>0.77731375512781298</v>
      </c>
      <c r="M71" s="12">
        <v>0.468991211204624</v>
      </c>
      <c r="N71" s="66">
        <v>4.37611179828062E-2</v>
      </c>
      <c r="O71" s="66">
        <v>7.7700375266136504E-2</v>
      </c>
      <c r="P71" s="2">
        <v>0</v>
      </c>
      <c r="Q71" s="2">
        <v>0</v>
      </c>
      <c r="R71" s="2">
        <v>0.30832254392318897</v>
      </c>
      <c r="S71" s="2">
        <v>5</v>
      </c>
      <c r="X71" s="141">
        <v>1</v>
      </c>
      <c r="Y71" s="138" t="s">
        <v>500</v>
      </c>
      <c r="Z71" s="87" t="s">
        <v>469</v>
      </c>
      <c r="AA71" s="72">
        <v>8</v>
      </c>
      <c r="AB71" s="72">
        <v>1</v>
      </c>
      <c r="AC71" s="72">
        <v>0.9</v>
      </c>
      <c r="AD71" s="73">
        <v>0.68326791488222305</v>
      </c>
      <c r="AE71" s="74">
        <v>3.51449032668191E-2</v>
      </c>
      <c r="AF71" s="75">
        <v>5</v>
      </c>
    </row>
    <row r="72" spans="1:32" x14ac:dyDescent="0.25">
      <c r="A72" s="2">
        <v>5</v>
      </c>
      <c r="B72" s="2" t="s">
        <v>504</v>
      </c>
      <c r="C72" s="2" t="s">
        <v>15</v>
      </c>
      <c r="D72" s="2">
        <v>1</v>
      </c>
      <c r="E72" s="2">
        <v>15</v>
      </c>
      <c r="F72" s="2">
        <v>1</v>
      </c>
      <c r="G72" s="2">
        <v>0</v>
      </c>
      <c r="H72" s="2">
        <v>0.97</v>
      </c>
      <c r="I72" s="2">
        <v>18</v>
      </c>
      <c r="J72" s="2">
        <v>12</v>
      </c>
      <c r="K72" s="2">
        <v>60</v>
      </c>
      <c r="L72" s="12">
        <v>0.77462433674316999</v>
      </c>
      <c r="M72" s="12">
        <v>0.44566585752405902</v>
      </c>
      <c r="N72" s="66">
        <v>3.2250509684786897E-2</v>
      </c>
      <c r="O72" s="66">
        <v>5.8637685525114898E-2</v>
      </c>
      <c r="P72" s="2">
        <v>0</v>
      </c>
      <c r="Q72" s="65">
        <v>5.5511151231257802E-17</v>
      </c>
      <c r="R72" s="2">
        <v>0.32895847921911098</v>
      </c>
      <c r="S72" s="2">
        <v>5</v>
      </c>
      <c r="X72" s="141"/>
      <c r="Y72" s="139"/>
      <c r="Z72" s="87" t="s">
        <v>393</v>
      </c>
      <c r="AA72" s="72">
        <v>9</v>
      </c>
      <c r="AB72" s="72">
        <v>1</v>
      </c>
      <c r="AC72" s="72">
        <v>0.9</v>
      </c>
      <c r="AD72" s="73">
        <v>0.76493341963445105</v>
      </c>
      <c r="AE72" s="74">
        <v>3.77230380179134E-2</v>
      </c>
      <c r="AF72" s="75">
        <v>5</v>
      </c>
    </row>
    <row r="73" spans="1:32" x14ac:dyDescent="0.25">
      <c r="A73" s="2">
        <v>3</v>
      </c>
      <c r="B73" s="2" t="s">
        <v>502</v>
      </c>
      <c r="C73" s="2" t="s">
        <v>393</v>
      </c>
      <c r="D73" s="2">
        <v>1</v>
      </c>
      <c r="E73" s="2">
        <v>10</v>
      </c>
      <c r="F73" s="2">
        <v>1</v>
      </c>
      <c r="G73" s="2">
        <v>0</v>
      </c>
      <c r="H73" s="2">
        <v>0.97</v>
      </c>
      <c r="I73" s="2">
        <v>21</v>
      </c>
      <c r="J73" s="2">
        <v>13</v>
      </c>
      <c r="K73" s="2">
        <v>64</v>
      </c>
      <c r="L73" s="12">
        <v>0.76582348626791297</v>
      </c>
      <c r="M73" s="12">
        <v>0.72203273556213698</v>
      </c>
      <c r="N73" s="66">
        <v>3.6565018665085297E-2</v>
      </c>
      <c r="O73" s="66">
        <v>4.6664885919563401E-2</v>
      </c>
      <c r="P73" s="2">
        <v>0</v>
      </c>
      <c r="Q73" s="2">
        <v>0</v>
      </c>
      <c r="R73" s="2">
        <v>4.3790750705776503E-2</v>
      </c>
      <c r="S73" s="2">
        <v>5</v>
      </c>
      <c r="X73" s="141"/>
      <c r="Y73" s="139"/>
      <c r="Z73" s="87" t="s">
        <v>394</v>
      </c>
      <c r="AA73" s="72">
        <v>16</v>
      </c>
      <c r="AB73" s="72">
        <v>1</v>
      </c>
      <c r="AC73" s="72">
        <v>0.99</v>
      </c>
      <c r="AD73" s="73">
        <v>0.74332739468097597</v>
      </c>
      <c r="AE73" s="74">
        <v>3.0880189709447399E-2</v>
      </c>
      <c r="AF73" s="75">
        <v>5</v>
      </c>
    </row>
    <row r="74" spans="1:32" ht="15" customHeight="1" x14ac:dyDescent="0.25">
      <c r="A74" s="2">
        <v>1</v>
      </c>
      <c r="B74" s="2" t="s">
        <v>500</v>
      </c>
      <c r="C74" s="2" t="s">
        <v>393</v>
      </c>
      <c r="D74" s="2">
        <v>1</v>
      </c>
      <c r="E74" s="2">
        <v>9</v>
      </c>
      <c r="F74" s="2">
        <v>1</v>
      </c>
      <c r="G74" s="2">
        <v>0</v>
      </c>
      <c r="H74" s="2">
        <v>0.9</v>
      </c>
      <c r="I74" s="2">
        <v>21</v>
      </c>
      <c r="J74" s="2">
        <v>13</v>
      </c>
      <c r="K74" s="2">
        <v>41</v>
      </c>
      <c r="L74" s="12">
        <v>0.76493341963445105</v>
      </c>
      <c r="M74" s="12">
        <v>0.72132274463351498</v>
      </c>
      <c r="N74" s="66">
        <v>3.77230380179134E-2</v>
      </c>
      <c r="O74" s="66">
        <v>4.4857118215302402E-2</v>
      </c>
      <c r="P74" s="2">
        <v>0</v>
      </c>
      <c r="Q74" s="2">
        <v>0</v>
      </c>
      <c r="R74" s="2">
        <v>4.3610675000935899E-2</v>
      </c>
      <c r="S74" s="2">
        <v>5</v>
      </c>
      <c r="X74" s="142">
        <v>2</v>
      </c>
      <c r="Y74" s="138" t="s">
        <v>501</v>
      </c>
      <c r="Z74" s="98" t="s">
        <v>469</v>
      </c>
      <c r="AA74" s="76">
        <v>8</v>
      </c>
      <c r="AB74" s="76">
        <v>1</v>
      </c>
      <c r="AC74" s="76">
        <v>0.85</v>
      </c>
      <c r="AD74" s="77">
        <v>0.44137701419750602</v>
      </c>
      <c r="AE74" s="78">
        <v>0.209323964816961</v>
      </c>
      <c r="AF74" s="79">
        <v>5</v>
      </c>
    </row>
    <row r="75" spans="1:32" ht="15" customHeight="1" x14ac:dyDescent="0.25">
      <c r="A75" s="2">
        <v>1</v>
      </c>
      <c r="B75" s="2" t="s">
        <v>500</v>
      </c>
      <c r="C75" s="2" t="s">
        <v>394</v>
      </c>
      <c r="D75" s="2">
        <v>2</v>
      </c>
      <c r="E75" s="2">
        <v>16</v>
      </c>
      <c r="F75" s="2">
        <v>1</v>
      </c>
      <c r="G75" s="2">
        <v>0</v>
      </c>
      <c r="H75" s="2">
        <v>0.99</v>
      </c>
      <c r="I75" s="2">
        <v>21</v>
      </c>
      <c r="J75" s="2">
        <v>13</v>
      </c>
      <c r="K75" s="2">
        <v>74</v>
      </c>
      <c r="L75" s="12">
        <v>0.74332739468097597</v>
      </c>
      <c r="M75" s="12">
        <v>0.70874920619205894</v>
      </c>
      <c r="N75" s="66">
        <v>3.0880189709447399E-2</v>
      </c>
      <c r="O75" s="66">
        <v>3.86055109886589E-2</v>
      </c>
      <c r="P75" s="2">
        <v>0</v>
      </c>
      <c r="Q75" s="2">
        <v>0</v>
      </c>
      <c r="R75" s="2">
        <v>3.4578188488916001E-2</v>
      </c>
      <c r="S75" s="2">
        <v>5</v>
      </c>
      <c r="X75" s="141"/>
      <c r="Y75" s="139"/>
      <c r="Z75" s="87" t="s">
        <v>393</v>
      </c>
      <c r="AA75" s="72">
        <v>8</v>
      </c>
      <c r="AB75" s="72">
        <v>1</v>
      </c>
      <c r="AC75" s="72">
        <v>0.85</v>
      </c>
      <c r="AD75" s="73">
        <v>0.51138677136189703</v>
      </c>
      <c r="AE75" s="74">
        <v>0.14806628698506</v>
      </c>
      <c r="AF75" s="75">
        <v>5</v>
      </c>
    </row>
    <row r="76" spans="1:32" ht="15" customHeight="1" x14ac:dyDescent="0.25">
      <c r="A76" s="2">
        <v>8</v>
      </c>
      <c r="B76" s="2" t="s">
        <v>509</v>
      </c>
      <c r="C76" s="2" t="s">
        <v>393</v>
      </c>
      <c r="D76" s="2">
        <v>2</v>
      </c>
      <c r="E76" s="2">
        <v>20</v>
      </c>
      <c r="F76" s="2">
        <v>1</v>
      </c>
      <c r="G76" s="2">
        <v>0</v>
      </c>
      <c r="H76" s="2">
        <v>0.95</v>
      </c>
      <c r="I76" s="2">
        <v>22</v>
      </c>
      <c r="J76" s="2">
        <v>14</v>
      </c>
      <c r="K76" s="2">
        <v>56</v>
      </c>
      <c r="L76" s="12">
        <v>0.74163799233400696</v>
      </c>
      <c r="M76" s="12">
        <v>0.53346901502857602</v>
      </c>
      <c r="N76" s="66">
        <v>3.54820385754245E-2</v>
      </c>
      <c r="O76" s="66">
        <v>5.5789670203751897E-2</v>
      </c>
      <c r="P76" s="2">
        <v>0</v>
      </c>
      <c r="Q76" s="2">
        <v>0</v>
      </c>
      <c r="R76" s="2">
        <v>0.20816897730542999</v>
      </c>
      <c r="S76" s="2">
        <v>5</v>
      </c>
      <c r="X76" s="143"/>
      <c r="Y76" s="140"/>
      <c r="Z76" s="84" t="s">
        <v>394</v>
      </c>
      <c r="AA76" s="71">
        <v>9</v>
      </c>
      <c r="AB76" s="71">
        <v>1</v>
      </c>
      <c r="AC76" s="71">
        <v>0.95</v>
      </c>
      <c r="AD76" s="80">
        <v>0.48935476174678399</v>
      </c>
      <c r="AE76" s="81">
        <v>0.14783714099099601</v>
      </c>
      <c r="AF76" s="82">
        <v>5</v>
      </c>
    </row>
    <row r="77" spans="1:32" ht="15" customHeight="1" x14ac:dyDescent="0.25">
      <c r="A77" s="2">
        <v>9</v>
      </c>
      <c r="B77" s="2" t="s">
        <v>510</v>
      </c>
      <c r="C77" s="2" t="s">
        <v>393</v>
      </c>
      <c r="D77" s="2">
        <v>2</v>
      </c>
      <c r="E77" s="2">
        <v>14</v>
      </c>
      <c r="F77" s="2">
        <v>1</v>
      </c>
      <c r="G77" s="2">
        <v>0</v>
      </c>
      <c r="H77" s="2">
        <v>0.99</v>
      </c>
      <c r="I77" s="2">
        <v>22</v>
      </c>
      <c r="J77" s="2">
        <v>14</v>
      </c>
      <c r="K77" s="2">
        <v>74</v>
      </c>
      <c r="L77" s="12">
        <v>0.73488063355627498</v>
      </c>
      <c r="M77" s="12">
        <v>0.37290732896879802</v>
      </c>
      <c r="N77" s="66">
        <v>0.146099029430768</v>
      </c>
      <c r="O77" s="66">
        <v>0.241986910250853</v>
      </c>
      <c r="P77" s="2">
        <v>0</v>
      </c>
      <c r="Q77" s="2">
        <v>0</v>
      </c>
      <c r="R77" s="2">
        <v>0.36197330458747601</v>
      </c>
      <c r="S77" s="2">
        <v>5</v>
      </c>
      <c r="X77" s="141">
        <v>3</v>
      </c>
      <c r="Y77" s="138" t="s">
        <v>502</v>
      </c>
      <c r="Z77" s="98" t="s">
        <v>469</v>
      </c>
      <c r="AA77" s="72">
        <v>8</v>
      </c>
      <c r="AB77" s="72">
        <v>1</v>
      </c>
      <c r="AC77" s="72">
        <v>0.9</v>
      </c>
      <c r="AD77" s="73">
        <v>0.71352242073455796</v>
      </c>
      <c r="AE77" s="74">
        <v>3.3588903463727102E-2</v>
      </c>
      <c r="AF77" s="75">
        <v>5</v>
      </c>
    </row>
    <row r="78" spans="1:32" ht="15" customHeight="1" x14ac:dyDescent="0.25">
      <c r="A78" s="2">
        <v>3</v>
      </c>
      <c r="B78" s="2" t="s">
        <v>502</v>
      </c>
      <c r="C78" s="2" t="s">
        <v>469</v>
      </c>
      <c r="D78" s="2">
        <v>0</v>
      </c>
      <c r="E78" s="2">
        <v>8</v>
      </c>
      <c r="F78" s="2">
        <v>1</v>
      </c>
      <c r="G78" s="2">
        <v>0</v>
      </c>
      <c r="H78" s="2">
        <v>0.9</v>
      </c>
      <c r="I78" s="2">
        <v>21</v>
      </c>
      <c r="J78" s="2">
        <v>13</v>
      </c>
      <c r="K78" s="2">
        <v>41</v>
      </c>
      <c r="L78" s="12">
        <v>0.71352242073455796</v>
      </c>
      <c r="M78" s="12">
        <v>0.55994722750891102</v>
      </c>
      <c r="N78" s="66">
        <v>3.3588903463727102E-2</v>
      </c>
      <c r="O78" s="66">
        <v>4.2481843067801103E-2</v>
      </c>
      <c r="P78" s="2">
        <v>0</v>
      </c>
      <c r="Q78" s="2">
        <v>0</v>
      </c>
      <c r="R78" s="2">
        <v>0.153575193225647</v>
      </c>
      <c r="S78" s="2">
        <v>5</v>
      </c>
      <c r="X78" s="141"/>
      <c r="Y78" s="139"/>
      <c r="Z78" s="87" t="s">
        <v>393</v>
      </c>
      <c r="AA78" s="72">
        <v>10</v>
      </c>
      <c r="AB78" s="72">
        <v>1</v>
      </c>
      <c r="AC78" s="72">
        <v>0.97</v>
      </c>
      <c r="AD78" s="73">
        <v>0.76582348626791297</v>
      </c>
      <c r="AE78" s="74">
        <v>3.6565018665085297E-2</v>
      </c>
      <c r="AF78" s="75">
        <v>5</v>
      </c>
    </row>
    <row r="79" spans="1:32" ht="15" customHeight="1" x14ac:dyDescent="0.25">
      <c r="A79" s="2">
        <v>7</v>
      </c>
      <c r="B79" s="2" t="s">
        <v>506</v>
      </c>
      <c r="C79" s="2" t="s">
        <v>474</v>
      </c>
      <c r="D79" s="2">
        <v>2</v>
      </c>
      <c r="E79" s="2">
        <v>15</v>
      </c>
      <c r="F79" s="2">
        <v>1</v>
      </c>
      <c r="G79" s="2">
        <v>0</v>
      </c>
      <c r="H79" s="2">
        <v>0.97</v>
      </c>
      <c r="I79" s="2">
        <v>23</v>
      </c>
      <c r="J79" s="2">
        <v>15</v>
      </c>
      <c r="K79" s="2">
        <v>67</v>
      </c>
      <c r="L79" s="12">
        <v>0.70940541070262397</v>
      </c>
      <c r="M79" s="12">
        <v>0.72659861648661594</v>
      </c>
      <c r="N79" s="66">
        <v>7.4450176829495798E-2</v>
      </c>
      <c r="O79" s="66">
        <v>8.3772697438131899E-2</v>
      </c>
      <c r="P79" s="2">
        <v>0</v>
      </c>
      <c r="Q79" s="2">
        <v>0</v>
      </c>
      <c r="R79" s="2">
        <v>-1.71932057839921E-2</v>
      </c>
      <c r="S79" s="2">
        <v>5</v>
      </c>
      <c r="X79" s="141"/>
      <c r="Y79" s="140"/>
      <c r="Z79" s="84" t="s">
        <v>394</v>
      </c>
      <c r="AA79" s="72">
        <v>10</v>
      </c>
      <c r="AB79" s="72">
        <v>1</v>
      </c>
      <c r="AC79" s="72">
        <v>0.97</v>
      </c>
      <c r="AD79" s="73">
        <v>0.71256950861995705</v>
      </c>
      <c r="AE79" s="74">
        <v>3.4051654370090299E-2</v>
      </c>
      <c r="AF79" s="75">
        <v>5</v>
      </c>
    </row>
    <row r="80" spans="1:32" ht="15" customHeight="1" x14ac:dyDescent="0.25">
      <c r="A80" s="2">
        <v>9</v>
      </c>
      <c r="B80" s="2" t="s">
        <v>510</v>
      </c>
      <c r="C80" s="2" t="s">
        <v>395</v>
      </c>
      <c r="D80" s="2">
        <v>1</v>
      </c>
      <c r="E80" s="2">
        <v>13</v>
      </c>
      <c r="F80" s="2">
        <v>1</v>
      </c>
      <c r="G80" s="2">
        <v>0</v>
      </c>
      <c r="H80" s="2">
        <v>0.97</v>
      </c>
      <c r="I80" s="2">
        <v>22</v>
      </c>
      <c r="J80" s="2">
        <v>14</v>
      </c>
      <c r="K80" s="2">
        <v>65</v>
      </c>
      <c r="L80" s="12">
        <v>0.69631934501505799</v>
      </c>
      <c r="M80" s="12">
        <v>0.39932083073497898</v>
      </c>
      <c r="N80" s="66">
        <v>0.14647970712718</v>
      </c>
      <c r="O80" s="66">
        <v>0.22929841930687</v>
      </c>
      <c r="P80" s="2">
        <v>0</v>
      </c>
      <c r="Q80" s="2">
        <v>0</v>
      </c>
      <c r="R80" s="2">
        <v>0.29699851428007901</v>
      </c>
      <c r="S80" s="2">
        <v>5</v>
      </c>
      <c r="X80" s="142">
        <v>4</v>
      </c>
      <c r="Y80" s="138" t="s">
        <v>503</v>
      </c>
      <c r="Z80" s="98" t="s">
        <v>469</v>
      </c>
      <c r="AA80" s="76">
        <v>8</v>
      </c>
      <c r="AB80" s="76">
        <v>1</v>
      </c>
      <c r="AC80" s="76">
        <v>0.85</v>
      </c>
      <c r="AD80" s="77">
        <v>0.44185936067614201</v>
      </c>
      <c r="AE80" s="78">
        <v>0.21092922679221199</v>
      </c>
      <c r="AF80" s="79">
        <v>5</v>
      </c>
    </row>
    <row r="81" spans="1:32" x14ac:dyDescent="0.25">
      <c r="A81" s="2">
        <v>6</v>
      </c>
      <c r="B81" s="2" t="s">
        <v>505</v>
      </c>
      <c r="C81" s="2" t="s">
        <v>15</v>
      </c>
      <c r="D81" s="2">
        <v>1</v>
      </c>
      <c r="E81" s="2">
        <v>8</v>
      </c>
      <c r="F81" s="2">
        <v>1</v>
      </c>
      <c r="G81" s="2">
        <v>0</v>
      </c>
      <c r="H81" s="2">
        <v>0.9</v>
      </c>
      <c r="I81" s="2">
        <v>21</v>
      </c>
      <c r="J81" s="2">
        <v>13</v>
      </c>
      <c r="K81" s="2">
        <v>41</v>
      </c>
      <c r="L81" s="12">
        <v>0.69600122117241403</v>
      </c>
      <c r="M81" s="12">
        <v>0.586745845541086</v>
      </c>
      <c r="N81" s="66">
        <v>3.3997217237074301E-2</v>
      </c>
      <c r="O81" s="66">
        <v>4.0327129559014602E-2</v>
      </c>
      <c r="P81" s="2">
        <v>0</v>
      </c>
      <c r="Q81" s="2">
        <v>0</v>
      </c>
      <c r="R81" s="2">
        <v>0.10925537563132801</v>
      </c>
      <c r="S81" s="2">
        <v>5</v>
      </c>
      <c r="X81" s="141"/>
      <c r="Y81" s="139"/>
      <c r="Z81" s="87" t="s">
        <v>393</v>
      </c>
      <c r="AA81" s="72">
        <v>15</v>
      </c>
      <c r="AB81" s="72">
        <v>1</v>
      </c>
      <c r="AC81" s="72">
        <v>0.97</v>
      </c>
      <c r="AD81" s="73">
        <v>0.54718647352150396</v>
      </c>
      <c r="AE81" s="74">
        <v>0.16823838977599601</v>
      </c>
      <c r="AF81" s="75">
        <v>5</v>
      </c>
    </row>
    <row r="82" spans="1:32" x14ac:dyDescent="0.25">
      <c r="A82" s="2">
        <v>3</v>
      </c>
      <c r="B82" s="2" t="s">
        <v>502</v>
      </c>
      <c r="C82" s="2" t="s">
        <v>394</v>
      </c>
      <c r="D82" s="2">
        <v>2</v>
      </c>
      <c r="E82" s="2">
        <v>10</v>
      </c>
      <c r="F82" s="2">
        <v>1</v>
      </c>
      <c r="G82" s="2">
        <v>0</v>
      </c>
      <c r="H82" s="2">
        <v>0.97</v>
      </c>
      <c r="I82" s="2">
        <v>21</v>
      </c>
      <c r="J82" s="2">
        <v>13</v>
      </c>
      <c r="K82" s="2">
        <v>64</v>
      </c>
      <c r="L82" s="12">
        <v>0.68498809363861102</v>
      </c>
      <c r="M82" s="12">
        <v>0.71256950861995705</v>
      </c>
      <c r="N82" s="66">
        <v>3.1619572279599099E-2</v>
      </c>
      <c r="O82" s="66">
        <v>3.4051654370090299E-2</v>
      </c>
      <c r="P82" s="2">
        <v>0</v>
      </c>
      <c r="Q82" s="2">
        <v>0</v>
      </c>
      <c r="R82" s="2">
        <v>-2.7581414981346201E-2</v>
      </c>
      <c r="S82" s="2">
        <v>5</v>
      </c>
      <c r="X82" s="143"/>
      <c r="Y82" s="140"/>
      <c r="Z82" s="84" t="s">
        <v>394</v>
      </c>
      <c r="AA82" s="71">
        <v>3</v>
      </c>
      <c r="AB82" s="71">
        <v>1</v>
      </c>
      <c r="AC82" s="71">
        <v>0.8</v>
      </c>
      <c r="AD82" s="80">
        <v>0.442755241465074</v>
      </c>
      <c r="AE82" s="81">
        <v>0.23572058166563101</v>
      </c>
      <c r="AF82" s="82">
        <v>5</v>
      </c>
    </row>
    <row r="83" spans="1:32" x14ac:dyDescent="0.25">
      <c r="A83" s="2">
        <v>1</v>
      </c>
      <c r="B83" s="2" t="s">
        <v>500</v>
      </c>
      <c r="C83" s="2" t="s">
        <v>469</v>
      </c>
      <c r="D83" s="2">
        <v>0</v>
      </c>
      <c r="E83" s="2">
        <v>8</v>
      </c>
      <c r="F83" s="2">
        <v>1</v>
      </c>
      <c r="G83" s="2">
        <v>0</v>
      </c>
      <c r="H83" s="2">
        <v>0.9</v>
      </c>
      <c r="I83" s="2">
        <v>21</v>
      </c>
      <c r="J83" s="2">
        <v>13</v>
      </c>
      <c r="K83" s="2">
        <v>41</v>
      </c>
      <c r="L83" s="12">
        <v>0.68326791488222305</v>
      </c>
      <c r="M83" s="12">
        <v>0.54026846277582596</v>
      </c>
      <c r="N83" s="66">
        <v>3.51449032668191E-2</v>
      </c>
      <c r="O83" s="66">
        <v>4.3670216004380702E-2</v>
      </c>
      <c r="P83" s="2">
        <v>0</v>
      </c>
      <c r="Q83" s="2">
        <v>0</v>
      </c>
      <c r="R83" s="2">
        <v>0.142999452106396</v>
      </c>
      <c r="S83" s="2">
        <v>5</v>
      </c>
      <c r="X83" s="141">
        <v>5</v>
      </c>
      <c r="Y83" s="138" t="s">
        <v>504</v>
      </c>
      <c r="Z83" s="98" t="s">
        <v>15</v>
      </c>
      <c r="AA83" s="72">
        <v>15</v>
      </c>
      <c r="AB83" s="72">
        <v>1</v>
      </c>
      <c r="AC83" s="72">
        <v>0.97</v>
      </c>
      <c r="AD83" s="73">
        <v>0.77462433674316999</v>
      </c>
      <c r="AE83" s="74">
        <v>3.2250509684786897E-2</v>
      </c>
      <c r="AF83" s="75">
        <v>5</v>
      </c>
    </row>
    <row r="84" spans="1:32" x14ac:dyDescent="0.25">
      <c r="A84" s="2">
        <v>6</v>
      </c>
      <c r="B84" s="2" t="s">
        <v>505</v>
      </c>
      <c r="C84" s="2" t="s">
        <v>16</v>
      </c>
      <c r="D84" s="2">
        <v>2</v>
      </c>
      <c r="E84" s="2">
        <v>8</v>
      </c>
      <c r="F84" s="2">
        <v>1</v>
      </c>
      <c r="G84" s="2">
        <v>0</v>
      </c>
      <c r="H84" s="2">
        <v>0.9</v>
      </c>
      <c r="I84" s="2">
        <v>21</v>
      </c>
      <c r="J84" s="2">
        <v>13</v>
      </c>
      <c r="K84" s="2">
        <v>41</v>
      </c>
      <c r="L84" s="12">
        <v>0.67427567243942499</v>
      </c>
      <c r="M84" s="12">
        <v>0.52087605691854599</v>
      </c>
      <c r="N84" s="66">
        <v>4.60382798602866E-2</v>
      </c>
      <c r="O84" s="66">
        <v>6.2090282213144297E-2</v>
      </c>
      <c r="P84" s="2">
        <v>0</v>
      </c>
      <c r="Q84" s="2">
        <v>0</v>
      </c>
      <c r="R84" s="2">
        <v>0.153399615520878</v>
      </c>
      <c r="S84" s="2">
        <v>5</v>
      </c>
      <c r="X84" s="141"/>
      <c r="Y84" s="139"/>
      <c r="Z84" s="87" t="s">
        <v>16</v>
      </c>
      <c r="AA84" s="72">
        <v>3</v>
      </c>
      <c r="AB84" s="72">
        <v>1</v>
      </c>
      <c r="AC84" s="72">
        <v>0.85</v>
      </c>
      <c r="AD84" s="73">
        <v>1.8822316192297701E-2</v>
      </c>
      <c r="AE84" s="74">
        <v>8.4418361990110394E-2</v>
      </c>
      <c r="AF84" s="75">
        <v>5</v>
      </c>
    </row>
    <row r="85" spans="1:32" x14ac:dyDescent="0.25">
      <c r="A85" s="2">
        <v>7</v>
      </c>
      <c r="B85" s="2" t="s">
        <v>506</v>
      </c>
      <c r="C85" s="2" t="s">
        <v>508</v>
      </c>
      <c r="D85" s="2">
        <v>1</v>
      </c>
      <c r="E85" s="2">
        <v>15</v>
      </c>
      <c r="F85" s="2">
        <v>1</v>
      </c>
      <c r="G85" s="2">
        <v>0</v>
      </c>
      <c r="H85" s="2">
        <v>0.97</v>
      </c>
      <c r="I85" s="2">
        <v>23</v>
      </c>
      <c r="J85" s="2">
        <v>15</v>
      </c>
      <c r="K85" s="2">
        <v>67</v>
      </c>
      <c r="L85" s="12">
        <v>0.63246932347025797</v>
      </c>
      <c r="M85" s="12">
        <v>0.73196203298782403</v>
      </c>
      <c r="N85" s="66">
        <v>8.0347264087037407E-2</v>
      </c>
      <c r="O85" s="66">
        <v>9.0330043786280095E-2</v>
      </c>
      <c r="P85" s="2">
        <v>0</v>
      </c>
      <c r="Q85" s="2">
        <v>0</v>
      </c>
      <c r="R85" s="2">
        <v>-9.9492709517566294E-2</v>
      </c>
      <c r="S85" s="2">
        <v>5</v>
      </c>
      <c r="X85" s="141"/>
      <c r="Y85" s="140"/>
      <c r="Z85" s="84" t="s">
        <v>16</v>
      </c>
      <c r="AA85" s="72">
        <v>15</v>
      </c>
      <c r="AB85" s="72">
        <v>1</v>
      </c>
      <c r="AC85" s="72">
        <v>0.99</v>
      </c>
      <c r="AD85" s="73">
        <v>0.77731375512781298</v>
      </c>
      <c r="AE85" s="74">
        <v>4.37611179828062E-2</v>
      </c>
      <c r="AF85" s="75">
        <v>5</v>
      </c>
    </row>
    <row r="86" spans="1:32" x14ac:dyDescent="0.25">
      <c r="A86" s="2">
        <v>8</v>
      </c>
      <c r="B86" s="2" t="s">
        <v>509</v>
      </c>
      <c r="C86" s="2" t="s">
        <v>395</v>
      </c>
      <c r="D86" s="2">
        <v>1</v>
      </c>
      <c r="E86" s="2">
        <v>11</v>
      </c>
      <c r="F86" s="2">
        <v>10</v>
      </c>
      <c r="G86" s="2">
        <v>0</v>
      </c>
      <c r="H86" s="2">
        <v>0.97</v>
      </c>
      <c r="I86" s="2">
        <v>22</v>
      </c>
      <c r="J86" s="2">
        <v>14</v>
      </c>
      <c r="K86" s="2">
        <v>65</v>
      </c>
      <c r="L86" s="12">
        <v>0.61918672554134002</v>
      </c>
      <c r="M86" s="12">
        <v>0.268639738649537</v>
      </c>
      <c r="N86" s="66">
        <v>4.6649302203209203E-2</v>
      </c>
      <c r="O86" s="66">
        <v>7.2300298305534E-2</v>
      </c>
      <c r="P86" s="2">
        <v>0</v>
      </c>
      <c r="Q86" s="2">
        <v>0</v>
      </c>
      <c r="R86" s="2">
        <v>0.35054698689180203</v>
      </c>
      <c r="S86" s="2">
        <v>5</v>
      </c>
      <c r="X86" s="142">
        <v>6</v>
      </c>
      <c r="Y86" s="138" t="s">
        <v>505</v>
      </c>
      <c r="Z86" s="98" t="s">
        <v>14</v>
      </c>
      <c r="AA86" s="76">
        <v>9</v>
      </c>
      <c r="AB86" s="76">
        <v>5</v>
      </c>
      <c r="AC86" s="76">
        <v>0.95</v>
      </c>
      <c r="AD86" s="77">
        <v>0.400356594779327</v>
      </c>
      <c r="AE86" s="78">
        <v>0.21507371028838501</v>
      </c>
      <c r="AF86" s="79">
        <v>5</v>
      </c>
    </row>
    <row r="87" spans="1:32" x14ac:dyDescent="0.25">
      <c r="A87" s="2">
        <v>4</v>
      </c>
      <c r="B87" s="2" t="s">
        <v>503</v>
      </c>
      <c r="C87" s="2" t="s">
        <v>393</v>
      </c>
      <c r="D87" s="2">
        <v>1</v>
      </c>
      <c r="E87" s="2">
        <v>15</v>
      </c>
      <c r="F87" s="2">
        <v>1</v>
      </c>
      <c r="G87" s="2">
        <v>0</v>
      </c>
      <c r="H87" s="2">
        <v>0.97</v>
      </c>
      <c r="I87" s="2">
        <v>22</v>
      </c>
      <c r="J87" s="2">
        <v>14</v>
      </c>
      <c r="K87" s="2">
        <v>65</v>
      </c>
      <c r="L87" s="12">
        <v>0.54718647352150396</v>
      </c>
      <c r="M87" s="12">
        <v>-4.5084776812240801E-3</v>
      </c>
      <c r="N87" s="66">
        <v>0.16823838977599601</v>
      </c>
      <c r="O87" s="66">
        <v>0.29946640941137898</v>
      </c>
      <c r="P87" s="2">
        <v>0</v>
      </c>
      <c r="Q87" s="2">
        <v>0</v>
      </c>
      <c r="R87" s="2">
        <v>0.55169495120272805</v>
      </c>
      <c r="S87" s="2">
        <v>5</v>
      </c>
      <c r="X87" s="141"/>
      <c r="Y87" s="139"/>
      <c r="Z87" s="87" t="s">
        <v>15</v>
      </c>
      <c r="AA87" s="72">
        <v>8</v>
      </c>
      <c r="AB87" s="72">
        <v>1</v>
      </c>
      <c r="AC87" s="72">
        <v>0.9</v>
      </c>
      <c r="AD87" s="73">
        <v>0.69600122117241403</v>
      </c>
      <c r="AE87" s="74">
        <v>3.3997217237074301E-2</v>
      </c>
      <c r="AF87" s="75">
        <v>5</v>
      </c>
    </row>
    <row r="88" spans="1:32" x14ac:dyDescent="0.25">
      <c r="A88" s="2">
        <v>9</v>
      </c>
      <c r="B88" s="2" t="s">
        <v>510</v>
      </c>
      <c r="C88" s="2" t="s">
        <v>469</v>
      </c>
      <c r="D88" s="2">
        <v>0</v>
      </c>
      <c r="E88" s="2">
        <v>8</v>
      </c>
      <c r="F88" s="2">
        <v>1</v>
      </c>
      <c r="G88" s="2">
        <v>0</v>
      </c>
      <c r="H88" s="2">
        <v>0.85</v>
      </c>
      <c r="I88" s="2">
        <v>22</v>
      </c>
      <c r="J88" s="2">
        <v>14</v>
      </c>
      <c r="K88" s="2">
        <v>36</v>
      </c>
      <c r="L88" s="12">
        <v>0.52594454871622598</v>
      </c>
      <c r="M88" s="12">
        <v>0.30556030219795199</v>
      </c>
      <c r="N88" s="66">
        <v>0.19192112797448299</v>
      </c>
      <c r="O88" s="66">
        <v>0.26820996689078802</v>
      </c>
      <c r="P88" s="2">
        <v>0</v>
      </c>
      <c r="Q88" s="2">
        <v>0</v>
      </c>
      <c r="R88" s="2">
        <v>0.22038424651827401</v>
      </c>
      <c r="S88" s="2">
        <v>5</v>
      </c>
      <c r="X88" s="143"/>
      <c r="Y88" s="140"/>
      <c r="Z88" s="84" t="s">
        <v>16</v>
      </c>
      <c r="AA88" s="71">
        <v>8</v>
      </c>
      <c r="AB88" s="71">
        <v>1</v>
      </c>
      <c r="AC88" s="71">
        <v>0.9</v>
      </c>
      <c r="AD88" s="80">
        <v>0.67427567243942499</v>
      </c>
      <c r="AE88" s="81">
        <v>4.60382798602866E-2</v>
      </c>
      <c r="AF88" s="82">
        <v>5</v>
      </c>
    </row>
    <row r="89" spans="1:32" ht="15" customHeight="1" x14ac:dyDescent="0.25">
      <c r="A89" s="2">
        <v>2</v>
      </c>
      <c r="B89" s="2" t="s">
        <v>501</v>
      </c>
      <c r="C89" s="2" t="s">
        <v>393</v>
      </c>
      <c r="D89" s="2">
        <v>1</v>
      </c>
      <c r="E89" s="2">
        <v>8</v>
      </c>
      <c r="F89" s="2">
        <v>1</v>
      </c>
      <c r="G89" s="2">
        <v>0</v>
      </c>
      <c r="H89" s="2">
        <v>0.85</v>
      </c>
      <c r="I89" s="2">
        <v>22</v>
      </c>
      <c r="J89" s="2">
        <v>14</v>
      </c>
      <c r="K89" s="2">
        <v>36</v>
      </c>
      <c r="L89" s="12">
        <v>0.51138677136189703</v>
      </c>
      <c r="M89" s="12">
        <v>0.22970632102454</v>
      </c>
      <c r="N89" s="66">
        <v>0.14806628698506</v>
      </c>
      <c r="O89" s="66">
        <v>0.23725500445078901</v>
      </c>
      <c r="P89" s="2">
        <v>0</v>
      </c>
      <c r="Q89" s="2">
        <v>0</v>
      </c>
      <c r="R89" s="2">
        <v>0.281680450337356</v>
      </c>
      <c r="S89" s="2">
        <v>5</v>
      </c>
      <c r="X89" s="141">
        <v>7</v>
      </c>
      <c r="Y89" s="138" t="s">
        <v>506</v>
      </c>
      <c r="Z89" s="99" t="s">
        <v>507</v>
      </c>
      <c r="AA89" s="72">
        <v>10</v>
      </c>
      <c r="AB89" s="72">
        <v>1</v>
      </c>
      <c r="AC89" s="72">
        <v>0.85</v>
      </c>
      <c r="AD89" s="73">
        <v>0.46072125670494102</v>
      </c>
      <c r="AE89" s="74">
        <v>0.21647729812267999</v>
      </c>
      <c r="AF89" s="75">
        <v>5</v>
      </c>
    </row>
    <row r="90" spans="1:32" ht="15" customHeight="1" x14ac:dyDescent="0.25">
      <c r="A90" s="2">
        <v>2</v>
      </c>
      <c r="B90" s="2" t="s">
        <v>501</v>
      </c>
      <c r="C90" s="2" t="s">
        <v>394</v>
      </c>
      <c r="D90" s="2">
        <v>2</v>
      </c>
      <c r="E90" s="2">
        <v>9</v>
      </c>
      <c r="F90" s="2">
        <v>1</v>
      </c>
      <c r="G90" s="2">
        <v>0</v>
      </c>
      <c r="H90" s="2">
        <v>0.95</v>
      </c>
      <c r="I90" s="2">
        <v>22</v>
      </c>
      <c r="J90" s="2">
        <v>14</v>
      </c>
      <c r="K90" s="2">
        <v>56</v>
      </c>
      <c r="L90" s="12">
        <v>0.48935476174678399</v>
      </c>
      <c r="M90" s="12">
        <v>9.2094507145401405E-2</v>
      </c>
      <c r="N90" s="66">
        <v>0.14783714099099601</v>
      </c>
      <c r="O90" s="66">
        <v>0.25604030167567599</v>
      </c>
      <c r="P90" s="2">
        <v>0</v>
      </c>
      <c r="Q90" s="2">
        <v>0</v>
      </c>
      <c r="R90" s="2">
        <v>0.39726025460138198</v>
      </c>
      <c r="S90" s="2">
        <v>5</v>
      </c>
      <c r="X90" s="141"/>
      <c r="Y90" s="139"/>
      <c r="Z90" s="100" t="s">
        <v>508</v>
      </c>
      <c r="AA90" s="72">
        <v>15</v>
      </c>
      <c r="AB90" s="72">
        <v>1</v>
      </c>
      <c r="AC90" s="72">
        <v>0.97</v>
      </c>
      <c r="AD90" s="73">
        <v>0.73196203298782403</v>
      </c>
      <c r="AE90" s="74">
        <v>9.0330043786280095E-2</v>
      </c>
      <c r="AF90" s="75">
        <v>5</v>
      </c>
    </row>
    <row r="91" spans="1:32" x14ac:dyDescent="0.25">
      <c r="A91" s="2">
        <v>7</v>
      </c>
      <c r="B91" s="2" t="s">
        <v>506</v>
      </c>
      <c r="C91" s="2" t="s">
        <v>507</v>
      </c>
      <c r="D91" s="2">
        <v>0</v>
      </c>
      <c r="E91" s="2">
        <v>10</v>
      </c>
      <c r="F91" s="2">
        <v>1</v>
      </c>
      <c r="G91" s="2">
        <v>0</v>
      </c>
      <c r="H91" s="2">
        <v>0.85</v>
      </c>
      <c r="I91" s="2">
        <v>23</v>
      </c>
      <c r="J91" s="2">
        <v>15</v>
      </c>
      <c r="K91" s="2">
        <v>36</v>
      </c>
      <c r="L91" s="12">
        <v>0.46072125670494102</v>
      </c>
      <c r="M91" s="12">
        <v>2.6960014713414499E-2</v>
      </c>
      <c r="N91" s="66">
        <v>0.21647729812267999</v>
      </c>
      <c r="O91" s="66">
        <v>0.31626180743995702</v>
      </c>
      <c r="P91" s="2">
        <v>0</v>
      </c>
      <c r="Q91" s="2">
        <v>0</v>
      </c>
      <c r="R91" s="2">
        <v>0.43376124199152699</v>
      </c>
      <c r="S91" s="2">
        <v>5</v>
      </c>
      <c r="X91" s="141"/>
      <c r="Y91" s="140"/>
      <c r="Z91" s="101" t="s">
        <v>474</v>
      </c>
      <c r="AA91" s="72">
        <v>15</v>
      </c>
      <c r="AB91" s="72">
        <v>1</v>
      </c>
      <c r="AC91" s="72">
        <v>0.97</v>
      </c>
      <c r="AD91" s="73">
        <v>0.72659861648661594</v>
      </c>
      <c r="AE91" s="74">
        <v>8.3772697438131899E-2</v>
      </c>
      <c r="AF91" s="75">
        <v>5</v>
      </c>
    </row>
    <row r="92" spans="1:32" x14ac:dyDescent="0.25">
      <c r="A92" s="2">
        <v>4</v>
      </c>
      <c r="B92" s="2" t="s">
        <v>503</v>
      </c>
      <c r="C92" s="2" t="s">
        <v>394</v>
      </c>
      <c r="D92" s="2">
        <v>2</v>
      </c>
      <c r="E92" s="2">
        <v>3</v>
      </c>
      <c r="F92" s="2">
        <v>1</v>
      </c>
      <c r="G92" s="2">
        <v>0</v>
      </c>
      <c r="H92" s="2">
        <v>0.8</v>
      </c>
      <c r="I92" s="2">
        <v>22</v>
      </c>
      <c r="J92" s="2">
        <v>14</v>
      </c>
      <c r="K92" s="2">
        <v>30</v>
      </c>
      <c r="L92" s="12">
        <v>0.442755241465074</v>
      </c>
      <c r="M92" s="12">
        <v>8.2109911406882605E-2</v>
      </c>
      <c r="N92" s="66">
        <v>0.23572058166563101</v>
      </c>
      <c r="O92" s="66">
        <v>0.36691233291252601</v>
      </c>
      <c r="P92" s="2">
        <v>5.5511151231257802E-17</v>
      </c>
      <c r="Q92" s="2">
        <v>0</v>
      </c>
      <c r="R92" s="2">
        <v>0.36064533005819199</v>
      </c>
      <c r="S92" s="2">
        <v>5</v>
      </c>
      <c r="X92" s="142">
        <v>8</v>
      </c>
      <c r="Y92" s="138" t="s">
        <v>509</v>
      </c>
      <c r="Z92" s="98" t="s">
        <v>469</v>
      </c>
      <c r="AA92" s="76">
        <v>11</v>
      </c>
      <c r="AB92" s="76">
        <v>1</v>
      </c>
      <c r="AC92" s="76">
        <v>0.97</v>
      </c>
      <c r="AD92" s="77">
        <v>0.81193919164464001</v>
      </c>
      <c r="AE92" s="78">
        <v>2.6383889392489299E-2</v>
      </c>
      <c r="AF92" s="79">
        <v>5</v>
      </c>
    </row>
    <row r="93" spans="1:32" x14ac:dyDescent="0.25">
      <c r="A93" s="2">
        <v>4</v>
      </c>
      <c r="B93" s="2" t="s">
        <v>503</v>
      </c>
      <c r="C93" s="2" t="s">
        <v>469</v>
      </c>
      <c r="D93" s="2">
        <v>0</v>
      </c>
      <c r="E93" s="2">
        <v>8</v>
      </c>
      <c r="F93" s="2">
        <v>1</v>
      </c>
      <c r="G93" s="2">
        <v>0</v>
      </c>
      <c r="H93" s="2">
        <v>0.85</v>
      </c>
      <c r="I93" s="2">
        <v>22</v>
      </c>
      <c r="J93" s="2">
        <v>14</v>
      </c>
      <c r="K93" s="2">
        <v>36</v>
      </c>
      <c r="L93" s="12">
        <v>0.44185936067614201</v>
      </c>
      <c r="M93" s="12">
        <v>0.132677811935423</v>
      </c>
      <c r="N93" s="66">
        <v>0.21092922679221199</v>
      </c>
      <c r="O93" s="66">
        <v>0.29270343733265303</v>
      </c>
      <c r="P93" s="65">
        <v>5.5511151231257802E-17</v>
      </c>
      <c r="Q93" s="2">
        <v>0</v>
      </c>
      <c r="R93" s="2">
        <v>0.30918154874071802</v>
      </c>
      <c r="S93" s="2">
        <v>5</v>
      </c>
      <c r="X93" s="141"/>
      <c r="Y93" s="139"/>
      <c r="Z93" s="87" t="s">
        <v>395</v>
      </c>
      <c r="AA93" s="72">
        <v>11</v>
      </c>
      <c r="AB93" s="72">
        <v>10</v>
      </c>
      <c r="AC93" s="72">
        <v>0.97</v>
      </c>
      <c r="AD93" s="73">
        <v>0.61918672554134002</v>
      </c>
      <c r="AE93" s="74">
        <v>4.6649302203209203E-2</v>
      </c>
      <c r="AF93" s="75">
        <v>5</v>
      </c>
    </row>
    <row r="94" spans="1:32" x14ac:dyDescent="0.25">
      <c r="A94" s="2">
        <v>2</v>
      </c>
      <c r="B94" s="2" t="s">
        <v>501</v>
      </c>
      <c r="C94" s="2" t="s">
        <v>469</v>
      </c>
      <c r="D94" s="2">
        <v>0</v>
      </c>
      <c r="E94" s="2">
        <v>8</v>
      </c>
      <c r="F94" s="2">
        <v>1</v>
      </c>
      <c r="G94" s="2">
        <v>0</v>
      </c>
      <c r="H94" s="2">
        <v>0.85</v>
      </c>
      <c r="I94" s="2">
        <v>22</v>
      </c>
      <c r="J94" s="2">
        <v>14</v>
      </c>
      <c r="K94" s="2">
        <v>36</v>
      </c>
      <c r="L94" s="12">
        <v>0.44137701419750602</v>
      </c>
      <c r="M94" s="12">
        <v>0.13541940977219399</v>
      </c>
      <c r="N94" s="66">
        <v>0.209323964816961</v>
      </c>
      <c r="O94" s="66">
        <v>0.29269678292241502</v>
      </c>
      <c r="P94" s="2">
        <v>0</v>
      </c>
      <c r="Q94" s="2">
        <v>0</v>
      </c>
      <c r="R94" s="2">
        <v>0.305957604425312</v>
      </c>
      <c r="S94" s="2">
        <v>5</v>
      </c>
      <c r="X94" s="143"/>
      <c r="Y94" s="140"/>
      <c r="Z94" s="84" t="s">
        <v>393</v>
      </c>
      <c r="AA94" s="71">
        <v>20</v>
      </c>
      <c r="AB94" s="71">
        <v>1</v>
      </c>
      <c r="AC94" s="71">
        <v>0.95</v>
      </c>
      <c r="AD94" s="80">
        <v>0.74163799233400696</v>
      </c>
      <c r="AE94" s="81">
        <v>3.54820385754245E-2</v>
      </c>
      <c r="AF94" s="82">
        <v>5</v>
      </c>
    </row>
    <row r="95" spans="1:32" x14ac:dyDescent="0.25">
      <c r="A95" s="2">
        <v>6</v>
      </c>
      <c r="B95" s="2" t="s">
        <v>505</v>
      </c>
      <c r="C95" s="2" t="s">
        <v>14</v>
      </c>
      <c r="D95" s="2">
        <v>0</v>
      </c>
      <c r="E95" s="2">
        <v>9</v>
      </c>
      <c r="F95" s="2">
        <v>5</v>
      </c>
      <c r="G95" s="2">
        <v>0</v>
      </c>
      <c r="H95" s="2">
        <v>0.95</v>
      </c>
      <c r="I95" s="2">
        <v>21</v>
      </c>
      <c r="J95" s="2">
        <v>13</v>
      </c>
      <c r="K95" s="2">
        <v>54</v>
      </c>
      <c r="L95" s="12">
        <v>0.400356594779327</v>
      </c>
      <c r="M95" s="12">
        <v>-0.18352868627806301</v>
      </c>
      <c r="N95" s="66">
        <v>0.21507371028838501</v>
      </c>
      <c r="O95" s="66">
        <v>0.35260462063912501</v>
      </c>
      <c r="P95" s="2">
        <v>5.5511151231257802E-17</v>
      </c>
      <c r="Q95" s="2">
        <v>0</v>
      </c>
      <c r="R95" s="2">
        <v>0.58388528105739101</v>
      </c>
      <c r="S95" s="2">
        <v>5</v>
      </c>
      <c r="X95" s="142">
        <v>9</v>
      </c>
      <c r="Y95" s="139" t="s">
        <v>510</v>
      </c>
      <c r="Z95" s="87" t="s">
        <v>469</v>
      </c>
      <c r="AA95" s="76">
        <v>8</v>
      </c>
      <c r="AB95" s="76">
        <v>1</v>
      </c>
      <c r="AC95" s="76">
        <v>0.85</v>
      </c>
      <c r="AD95" s="77">
        <v>0.52594454871622598</v>
      </c>
      <c r="AE95" s="78">
        <v>0.19192112797448299</v>
      </c>
      <c r="AF95" s="79">
        <v>5</v>
      </c>
    </row>
    <row r="96" spans="1:32" x14ac:dyDescent="0.25">
      <c r="A96" s="2">
        <v>5</v>
      </c>
      <c r="B96" s="2" t="s">
        <v>504</v>
      </c>
      <c r="C96" s="2" t="s">
        <v>14</v>
      </c>
      <c r="D96" s="2">
        <v>2</v>
      </c>
      <c r="E96" s="2">
        <v>3</v>
      </c>
      <c r="F96" s="2">
        <v>1</v>
      </c>
      <c r="G96" s="2">
        <v>0</v>
      </c>
      <c r="H96" s="2">
        <v>0.85</v>
      </c>
      <c r="I96" s="2">
        <v>18</v>
      </c>
      <c r="J96" s="2">
        <v>12</v>
      </c>
      <c r="K96" s="2">
        <v>37</v>
      </c>
      <c r="L96" s="12">
        <v>1.8822316192297701E-2</v>
      </c>
      <c r="M96" s="12">
        <v>0.124004509648987</v>
      </c>
      <c r="N96" s="66">
        <v>8.4418361990110394E-2</v>
      </c>
      <c r="O96" s="66">
        <v>9.4862337441739802E-2</v>
      </c>
      <c r="P96" s="2">
        <v>0</v>
      </c>
      <c r="Q96" s="65">
        <v>0</v>
      </c>
      <c r="R96" s="2">
        <v>-0.105182193456689</v>
      </c>
      <c r="S96" s="2">
        <v>5</v>
      </c>
      <c r="X96" s="141"/>
      <c r="Y96" s="139"/>
      <c r="Z96" s="87" t="s">
        <v>395</v>
      </c>
      <c r="AA96" s="72">
        <v>13</v>
      </c>
      <c r="AB96" s="72">
        <v>1</v>
      </c>
      <c r="AC96" s="72">
        <v>0.97</v>
      </c>
      <c r="AD96" s="73">
        <v>0.69631934501505799</v>
      </c>
      <c r="AE96" s="74">
        <v>0.14647970712718</v>
      </c>
      <c r="AF96" s="75">
        <v>5</v>
      </c>
    </row>
    <row r="97" spans="1:37" x14ac:dyDescent="0.25">
      <c r="X97" s="143"/>
      <c r="Y97" s="140"/>
      <c r="Z97" s="84" t="s">
        <v>393</v>
      </c>
      <c r="AA97" s="71">
        <v>14</v>
      </c>
      <c r="AB97" s="71">
        <v>1</v>
      </c>
      <c r="AC97" s="71">
        <v>0.99</v>
      </c>
      <c r="AD97" s="80">
        <v>0.73488063355627498</v>
      </c>
      <c r="AE97" s="81">
        <v>0.146099029430768</v>
      </c>
      <c r="AF97" s="82">
        <v>5</v>
      </c>
    </row>
    <row r="100" spans="1:37" ht="15.75" customHeight="1" x14ac:dyDescent="0.25">
      <c r="AB100" s="4" t="s">
        <v>25</v>
      </c>
      <c r="AC100" s="4" t="s">
        <v>26</v>
      </c>
      <c r="AD100" s="4" t="s">
        <v>27</v>
      </c>
      <c r="AE100" s="4" t="s">
        <v>28</v>
      </c>
      <c r="AF100" s="4" t="s">
        <v>223</v>
      </c>
      <c r="AG100" s="4" t="s">
        <v>224</v>
      </c>
      <c r="AH100" s="4" t="s">
        <v>225</v>
      </c>
      <c r="AI100" s="4" t="s">
        <v>226</v>
      </c>
      <c r="AJ100" s="4" t="s">
        <v>227</v>
      </c>
      <c r="AK100" s="4" t="s">
        <v>228</v>
      </c>
    </row>
    <row r="101" spans="1:37" ht="15.75" customHeight="1" x14ac:dyDescent="0.25">
      <c r="AB101" s="4">
        <v>2</v>
      </c>
      <c r="AC101" s="4" t="s">
        <v>469</v>
      </c>
      <c r="AD101" s="4">
        <v>1</v>
      </c>
      <c r="AE101" s="4">
        <v>9</v>
      </c>
      <c r="AF101" s="4">
        <v>22</v>
      </c>
      <c r="AG101" s="4">
        <v>0.42099999999999999</v>
      </c>
      <c r="AH101" s="4">
        <v>0.1381</v>
      </c>
      <c r="AI101" s="4">
        <v>0.28289999999999998</v>
      </c>
      <c r="AJ101" s="4" t="s">
        <v>465</v>
      </c>
      <c r="AK101" s="4" t="s">
        <v>471</v>
      </c>
    </row>
    <row r="102" spans="1:37" ht="15.75" customHeight="1" x14ac:dyDescent="0.25">
      <c r="AB102" s="4">
        <v>2</v>
      </c>
      <c r="AC102" s="4" t="s">
        <v>394</v>
      </c>
      <c r="AD102" s="4">
        <v>1</v>
      </c>
      <c r="AE102" s="4">
        <v>9</v>
      </c>
      <c r="AF102" s="4">
        <v>22</v>
      </c>
      <c r="AG102" s="4">
        <v>0.4894</v>
      </c>
      <c r="AH102" s="4">
        <v>9.2100000000000001E-2</v>
      </c>
      <c r="AI102" s="4">
        <v>0.39729999999999999</v>
      </c>
      <c r="AJ102" s="4" t="s">
        <v>465</v>
      </c>
      <c r="AK102" s="4" t="s">
        <v>471</v>
      </c>
    </row>
    <row r="103" spans="1:37" ht="15.75" customHeight="1" x14ac:dyDescent="0.25">
      <c r="AB103" s="4">
        <v>2</v>
      </c>
      <c r="AC103" s="4" t="s">
        <v>393</v>
      </c>
      <c r="AD103" s="4">
        <v>1</v>
      </c>
      <c r="AE103" s="4">
        <v>9</v>
      </c>
      <c r="AF103" s="4">
        <v>22</v>
      </c>
      <c r="AG103" s="4">
        <v>0.49859999999999999</v>
      </c>
      <c r="AH103" s="4">
        <v>7.4700000000000003E-2</v>
      </c>
      <c r="AI103" s="4">
        <v>0.4239</v>
      </c>
      <c r="AJ103" s="4" t="s">
        <v>465</v>
      </c>
      <c r="AK103" s="4" t="s">
        <v>471</v>
      </c>
    </row>
    <row r="104" spans="1:37" ht="15.75" customHeight="1" x14ac:dyDescent="0.25">
      <c r="AB104" s="4">
        <v>3</v>
      </c>
      <c r="AC104" s="4" t="s">
        <v>469</v>
      </c>
      <c r="AD104" s="4">
        <v>1</v>
      </c>
      <c r="AE104" s="4">
        <v>9</v>
      </c>
      <c r="AF104" s="4">
        <v>21</v>
      </c>
      <c r="AG104" s="4">
        <v>0.72709999999999997</v>
      </c>
      <c r="AH104" s="4">
        <v>0.51490000000000002</v>
      </c>
      <c r="AI104" s="4">
        <v>0.2122</v>
      </c>
      <c r="AJ104" s="4" t="s">
        <v>465</v>
      </c>
      <c r="AK104" s="4" t="s">
        <v>471</v>
      </c>
    </row>
    <row r="105" spans="1:37" ht="15.75" customHeight="1" x14ac:dyDescent="0.25">
      <c r="AB105" s="4">
        <v>3</v>
      </c>
      <c r="AC105" s="4" t="s">
        <v>394</v>
      </c>
      <c r="AD105" s="4">
        <v>1</v>
      </c>
      <c r="AE105" s="4">
        <v>10</v>
      </c>
      <c r="AF105" s="4">
        <v>21</v>
      </c>
      <c r="AG105" s="4">
        <v>0.68500000000000005</v>
      </c>
      <c r="AH105" s="4">
        <v>0.71260000000000001</v>
      </c>
      <c r="AI105" s="4">
        <v>-2.76E-2</v>
      </c>
      <c r="AJ105" s="4" t="s">
        <v>467</v>
      </c>
      <c r="AK105" s="4" t="s">
        <v>468</v>
      </c>
    </row>
    <row r="106" spans="1:37" ht="15.75" customHeight="1" x14ac:dyDescent="0.25">
      <c r="A106" s="68" t="s">
        <v>489</v>
      </c>
      <c r="B106" s="67" t="s">
        <v>396</v>
      </c>
      <c r="C106" s="67" t="s">
        <v>511</v>
      </c>
      <c r="D106" s="67" t="s">
        <v>512</v>
      </c>
      <c r="E106" s="67" t="s">
        <v>513</v>
      </c>
      <c r="F106" s="67" t="s">
        <v>515</v>
      </c>
      <c r="G106" s="67" t="s">
        <v>514</v>
      </c>
      <c r="H106" s="67" t="s">
        <v>392</v>
      </c>
      <c r="I106"/>
      <c r="J106"/>
      <c r="K106"/>
      <c r="L106"/>
      <c r="M106"/>
      <c r="N106"/>
      <c r="O106"/>
      <c r="P106"/>
      <c r="Q106"/>
      <c r="R106"/>
      <c r="S106"/>
      <c r="AB106" s="4">
        <v>3</v>
      </c>
      <c r="AC106" s="4" t="s">
        <v>393</v>
      </c>
      <c r="AD106" s="4">
        <v>1</v>
      </c>
      <c r="AE106" s="4">
        <v>10</v>
      </c>
      <c r="AF106" s="4">
        <v>21</v>
      </c>
      <c r="AG106" s="4">
        <v>0.76580000000000004</v>
      </c>
      <c r="AH106" s="4">
        <v>0.72199999999999998</v>
      </c>
      <c r="AI106" s="4">
        <v>4.3799999999999999E-2</v>
      </c>
      <c r="AJ106" s="4" t="s">
        <v>467</v>
      </c>
      <c r="AK106" s="4" t="s">
        <v>468</v>
      </c>
    </row>
    <row r="107" spans="1:37" ht="15.75" customHeight="1" x14ac:dyDescent="0.25">
      <c r="A107" s="137">
        <v>1</v>
      </c>
      <c r="B107" s="2">
        <v>1</v>
      </c>
      <c r="C107" s="2">
        <v>0</v>
      </c>
      <c r="D107" s="2">
        <v>0.9</v>
      </c>
      <c r="E107" s="12">
        <v>0.68326791488222305</v>
      </c>
      <c r="F107" s="66">
        <v>3.51449032668191E-2</v>
      </c>
      <c r="G107" s="2">
        <v>0</v>
      </c>
      <c r="H107" s="2">
        <v>5</v>
      </c>
      <c r="I107"/>
      <c r="J107"/>
      <c r="S107"/>
      <c r="AB107" s="4">
        <v>6</v>
      </c>
      <c r="AC107" s="4" t="s">
        <v>470</v>
      </c>
      <c r="AD107" s="4">
        <v>1</v>
      </c>
      <c r="AE107" s="4">
        <v>9</v>
      </c>
      <c r="AF107" s="4">
        <v>21</v>
      </c>
      <c r="AG107" s="4">
        <v>0.67120000000000002</v>
      </c>
      <c r="AH107" s="4">
        <v>0.41399999999999998</v>
      </c>
      <c r="AI107" s="4">
        <v>0.25719999999999998</v>
      </c>
      <c r="AJ107" s="4" t="s">
        <v>465</v>
      </c>
      <c r="AK107" s="4" t="s">
        <v>471</v>
      </c>
    </row>
    <row r="108" spans="1:37" ht="15.75" customHeight="1" x14ac:dyDescent="0.25">
      <c r="A108" s="134"/>
      <c r="B108" s="2">
        <v>1</v>
      </c>
      <c r="C108" s="2">
        <v>0</v>
      </c>
      <c r="D108" s="2">
        <v>0.97</v>
      </c>
      <c r="E108" s="12">
        <v>0.72185837843420098</v>
      </c>
      <c r="F108" s="66">
        <v>3.1924465092653898E-2</v>
      </c>
      <c r="G108" s="2">
        <v>0</v>
      </c>
      <c r="H108" s="2">
        <v>5</v>
      </c>
      <c r="I108"/>
      <c r="J108"/>
      <c r="S108"/>
      <c r="AB108" s="4">
        <v>6</v>
      </c>
      <c r="AC108" s="4" t="s">
        <v>464</v>
      </c>
      <c r="AD108" s="4">
        <v>1</v>
      </c>
      <c r="AE108" s="4">
        <v>9</v>
      </c>
      <c r="AF108" s="4">
        <v>21</v>
      </c>
      <c r="AG108" s="4">
        <v>0.70140000000000002</v>
      </c>
      <c r="AH108" s="4">
        <v>0.54349999999999998</v>
      </c>
      <c r="AI108" s="4">
        <v>0.15790000000000001</v>
      </c>
      <c r="AJ108" s="4" t="s">
        <v>465</v>
      </c>
      <c r="AK108" s="4" t="s">
        <v>471</v>
      </c>
    </row>
    <row r="109" spans="1:37" ht="15.75" customHeight="1" x14ac:dyDescent="0.25">
      <c r="A109" s="134"/>
      <c r="B109" s="2">
        <v>1</v>
      </c>
      <c r="C109" s="2">
        <v>0</v>
      </c>
      <c r="D109" s="2">
        <v>0.9</v>
      </c>
      <c r="E109" s="12">
        <v>0.73532491782107301</v>
      </c>
      <c r="F109" s="66">
        <v>4.0241806033912197E-2</v>
      </c>
      <c r="G109" s="2">
        <v>0</v>
      </c>
      <c r="H109" s="2">
        <v>5</v>
      </c>
      <c r="I109"/>
      <c r="J109"/>
      <c r="L109" s="52"/>
      <c r="M109" s="52"/>
      <c r="N109" s="52"/>
      <c r="O109" s="52"/>
      <c r="P109" s="52"/>
      <c r="Q109" s="52"/>
      <c r="R109" s="52"/>
      <c r="S109" s="70"/>
      <c r="AB109" s="4">
        <v>6</v>
      </c>
      <c r="AC109" s="4" t="s">
        <v>472</v>
      </c>
      <c r="AD109" s="4">
        <v>5</v>
      </c>
      <c r="AE109" s="4">
        <v>9</v>
      </c>
      <c r="AF109" s="4">
        <v>21</v>
      </c>
      <c r="AG109" s="4">
        <v>0.40039999999999998</v>
      </c>
      <c r="AH109" s="4">
        <v>-0.1835</v>
      </c>
      <c r="AI109" s="4">
        <v>0.58389999999999997</v>
      </c>
      <c r="AJ109" s="4" t="s">
        <v>465</v>
      </c>
      <c r="AK109" s="4" t="s">
        <v>471</v>
      </c>
    </row>
    <row r="110" spans="1:37" ht="15.75" customHeight="1" x14ac:dyDescent="0.25">
      <c r="A110" s="134">
        <v>2</v>
      </c>
      <c r="B110" s="2">
        <v>1</v>
      </c>
      <c r="C110" s="2">
        <v>0</v>
      </c>
      <c r="D110" s="2">
        <v>0.85</v>
      </c>
      <c r="E110" s="12">
        <v>0.44137701419750602</v>
      </c>
      <c r="F110" s="66">
        <v>0.209323964816961</v>
      </c>
      <c r="G110" s="2">
        <v>0</v>
      </c>
      <c r="H110" s="2">
        <v>5</v>
      </c>
      <c r="I110"/>
      <c r="J110"/>
      <c r="L110" s="52"/>
      <c r="M110" s="88"/>
      <c r="N110" s="88"/>
      <c r="O110" s="88"/>
      <c r="P110" s="88"/>
      <c r="Q110" s="88"/>
      <c r="R110" s="88"/>
      <c r="S110" s="70"/>
      <c r="AB110" s="4">
        <v>7</v>
      </c>
      <c r="AC110" s="4" t="s">
        <v>405</v>
      </c>
      <c r="AD110" s="4">
        <v>1</v>
      </c>
      <c r="AE110" s="4">
        <v>10</v>
      </c>
      <c r="AF110" s="4">
        <v>23</v>
      </c>
      <c r="AG110" s="4">
        <v>0.4607</v>
      </c>
      <c r="AH110" s="4">
        <v>2.7E-2</v>
      </c>
      <c r="AI110" s="4">
        <v>0.43380000000000002</v>
      </c>
      <c r="AJ110" s="4" t="s">
        <v>465</v>
      </c>
      <c r="AK110" s="4" t="s">
        <v>471</v>
      </c>
    </row>
    <row r="111" spans="1:37" x14ac:dyDescent="0.25">
      <c r="A111" s="134"/>
      <c r="B111" s="2">
        <v>5</v>
      </c>
      <c r="C111" s="2">
        <v>0</v>
      </c>
      <c r="D111" s="2">
        <v>0.95</v>
      </c>
      <c r="E111" s="12">
        <v>0.48179725007594298</v>
      </c>
      <c r="F111" s="66">
        <v>0.147657270242012</v>
      </c>
      <c r="G111" s="2">
        <v>0</v>
      </c>
      <c r="H111" s="2">
        <v>5</v>
      </c>
      <c r="I111"/>
      <c r="J111"/>
      <c r="L111" s="52"/>
      <c r="M111" s="85" t="s">
        <v>388</v>
      </c>
      <c r="N111" s="85" t="s">
        <v>0</v>
      </c>
      <c r="O111" s="85" t="s">
        <v>387</v>
      </c>
      <c r="P111" s="85" t="s">
        <v>516</v>
      </c>
      <c r="Q111" s="94" t="s">
        <v>528</v>
      </c>
      <c r="R111" s="85" t="s">
        <v>527</v>
      </c>
      <c r="S111" s="52"/>
      <c r="AB111" s="4">
        <v>7</v>
      </c>
      <c r="AC111" s="58">
        <v>0.2</v>
      </c>
      <c r="AD111" s="4">
        <v>1</v>
      </c>
      <c r="AE111" s="4">
        <v>13</v>
      </c>
      <c r="AF111" s="4">
        <v>23</v>
      </c>
      <c r="AG111" s="4">
        <v>0.72330000000000005</v>
      </c>
      <c r="AH111" s="4">
        <v>0.7278</v>
      </c>
      <c r="AI111" s="4">
        <v>-4.4999999999999997E-3</v>
      </c>
      <c r="AJ111" s="4" t="s">
        <v>467</v>
      </c>
      <c r="AK111" s="4" t="s">
        <v>468</v>
      </c>
    </row>
    <row r="112" spans="1:37" ht="15.75" customHeight="1" x14ac:dyDescent="0.25">
      <c r="A112" s="134"/>
      <c r="B112" s="2">
        <v>1</v>
      </c>
      <c r="C112" s="2">
        <v>0</v>
      </c>
      <c r="D112" s="2">
        <v>0.85</v>
      </c>
      <c r="E112" s="12">
        <v>0.51138677136189703</v>
      </c>
      <c r="F112" s="66">
        <v>0.14806628698506</v>
      </c>
      <c r="G112" s="2">
        <v>0</v>
      </c>
      <c r="H112" s="2">
        <v>5</v>
      </c>
      <c r="I112"/>
      <c r="J112"/>
      <c r="L112" s="52"/>
      <c r="M112" s="136" t="s">
        <v>13</v>
      </c>
      <c r="N112" s="88">
        <v>6</v>
      </c>
      <c r="O112" s="88" t="s">
        <v>4</v>
      </c>
      <c r="P112" s="88" t="s">
        <v>432</v>
      </c>
      <c r="Q112" s="88">
        <v>0.15</v>
      </c>
      <c r="R112" s="93">
        <v>1.2999999999999999E-2</v>
      </c>
      <c r="S112" s="70"/>
      <c r="AB112" s="4">
        <v>7</v>
      </c>
      <c r="AC112" s="58">
        <v>0.2</v>
      </c>
      <c r="AD112" s="4">
        <v>1</v>
      </c>
      <c r="AE112" s="4">
        <v>13</v>
      </c>
      <c r="AF112" s="4">
        <v>23</v>
      </c>
      <c r="AG112" s="4">
        <v>0.62139999999999995</v>
      </c>
      <c r="AH112" s="4">
        <v>0.72460000000000002</v>
      </c>
      <c r="AI112" s="4">
        <v>-0.1032</v>
      </c>
      <c r="AJ112" s="4" t="s">
        <v>467</v>
      </c>
      <c r="AK112" s="4" t="s">
        <v>468</v>
      </c>
    </row>
    <row r="113" spans="1:37" ht="15.75" customHeight="1" x14ac:dyDescent="0.25">
      <c r="A113" s="134">
        <v>3</v>
      </c>
      <c r="B113" s="2">
        <v>1</v>
      </c>
      <c r="C113" s="2">
        <v>0</v>
      </c>
      <c r="D113" s="2">
        <v>0.9</v>
      </c>
      <c r="E113" s="12">
        <v>0.71352242073455896</v>
      </c>
      <c r="F113" s="66">
        <v>3.3588903463726998E-2</v>
      </c>
      <c r="G113" s="2">
        <v>0</v>
      </c>
      <c r="H113" s="2">
        <v>5</v>
      </c>
      <c r="I113"/>
      <c r="J113"/>
      <c r="L113" s="52"/>
      <c r="M113" s="136"/>
      <c r="N113" s="88">
        <v>6</v>
      </c>
      <c r="O113" s="88" t="s">
        <v>4</v>
      </c>
      <c r="P113" s="88" t="s">
        <v>20</v>
      </c>
      <c r="Q113" s="88">
        <v>0.13</v>
      </c>
      <c r="R113" s="93">
        <v>0.01</v>
      </c>
      <c r="S113" s="70"/>
      <c r="T113" s="83"/>
      <c r="U113" s="83"/>
      <c r="V113" s="83"/>
      <c r="W113" s="83"/>
      <c r="X113" s="84" t="s">
        <v>517</v>
      </c>
      <c r="Y113" s="84"/>
      <c r="Z113" s="83"/>
      <c r="AB113" s="4">
        <v>8</v>
      </c>
      <c r="AC113" s="4" t="s">
        <v>469</v>
      </c>
      <c r="AD113" s="4">
        <v>1</v>
      </c>
      <c r="AE113" s="4">
        <v>11</v>
      </c>
      <c r="AF113" s="4">
        <v>22</v>
      </c>
      <c r="AG113" s="4">
        <v>0.81189999999999996</v>
      </c>
      <c r="AH113" s="4">
        <v>0.66259999999999997</v>
      </c>
      <c r="AI113" s="4">
        <v>0.14929999999999999</v>
      </c>
      <c r="AJ113" s="4" t="s">
        <v>465</v>
      </c>
      <c r="AK113" s="4" t="s">
        <v>466</v>
      </c>
    </row>
    <row r="114" spans="1:37" x14ac:dyDescent="0.25">
      <c r="A114" s="134"/>
      <c r="B114" s="2">
        <v>1</v>
      </c>
      <c r="C114" s="2">
        <v>0</v>
      </c>
      <c r="D114" s="2">
        <v>0.97</v>
      </c>
      <c r="E114" s="12">
        <v>0.68498809363861102</v>
      </c>
      <c r="F114" s="66">
        <v>3.1619572279599099E-2</v>
      </c>
      <c r="G114" s="2">
        <v>0</v>
      </c>
      <c r="H114" s="2">
        <v>5</v>
      </c>
      <c r="I114"/>
      <c r="J114"/>
      <c r="L114" s="52"/>
      <c r="M114" s="136"/>
      <c r="N114" s="88">
        <v>6</v>
      </c>
      <c r="O114" s="88" t="s">
        <v>4</v>
      </c>
      <c r="P114" s="88" t="s">
        <v>481</v>
      </c>
      <c r="Q114" s="88">
        <v>0.08</v>
      </c>
      <c r="R114" s="93">
        <v>1.2E-2</v>
      </c>
      <c r="S114" s="70"/>
      <c r="T114" s="84" t="s">
        <v>520</v>
      </c>
      <c r="U114" s="85" t="s">
        <v>388</v>
      </c>
      <c r="V114" s="85" t="s">
        <v>387</v>
      </c>
      <c r="W114" s="85" t="s">
        <v>0</v>
      </c>
      <c r="X114" s="86" t="s">
        <v>525</v>
      </c>
      <c r="Y114" s="86" t="s">
        <v>526</v>
      </c>
      <c r="Z114" s="85" t="s">
        <v>524</v>
      </c>
      <c r="AB114" s="4">
        <v>8</v>
      </c>
      <c r="AC114" s="4" t="s">
        <v>393</v>
      </c>
      <c r="AD114" s="4">
        <v>1</v>
      </c>
      <c r="AE114" s="4">
        <v>11</v>
      </c>
      <c r="AF114" s="4">
        <v>22</v>
      </c>
      <c r="AG114" s="4">
        <v>0.73850000000000005</v>
      </c>
      <c r="AH114" s="4">
        <v>0.57630000000000003</v>
      </c>
      <c r="AI114" s="4">
        <v>0.16220000000000001</v>
      </c>
      <c r="AJ114" s="4" t="s">
        <v>465</v>
      </c>
      <c r="AK114" s="4" t="s">
        <v>471</v>
      </c>
    </row>
    <row r="115" spans="1:37" x14ac:dyDescent="0.25">
      <c r="A115" s="134"/>
      <c r="B115" s="2">
        <v>1</v>
      </c>
      <c r="C115" s="2">
        <v>0</v>
      </c>
      <c r="D115" s="2">
        <v>0.97</v>
      </c>
      <c r="E115" s="12">
        <v>0.76582348626791297</v>
      </c>
      <c r="F115" s="66">
        <v>3.6565018665085297E-2</v>
      </c>
      <c r="G115" s="2">
        <v>0</v>
      </c>
      <c r="H115" s="2">
        <v>5</v>
      </c>
      <c r="I115"/>
      <c r="J115"/>
      <c r="L115" s="52"/>
      <c r="M115" s="52"/>
      <c r="N115" s="52"/>
      <c r="O115" s="52"/>
      <c r="P115" s="52"/>
      <c r="Q115" s="52"/>
      <c r="R115" s="52"/>
      <c r="S115" s="70"/>
      <c r="T115" s="87">
        <v>1</v>
      </c>
      <c r="U115" s="88" t="s">
        <v>17</v>
      </c>
      <c r="V115" s="88" t="s">
        <v>519</v>
      </c>
      <c r="W115" s="88">
        <v>6</v>
      </c>
      <c r="X115" s="89">
        <v>0.35</v>
      </c>
      <c r="Y115" s="89">
        <v>0.2</v>
      </c>
      <c r="Z115" s="90">
        <f>X115-Y115</f>
        <v>0.14999999999999997</v>
      </c>
      <c r="AB115" s="4">
        <v>8</v>
      </c>
      <c r="AC115" s="4" t="s">
        <v>395</v>
      </c>
      <c r="AD115" s="4">
        <v>10</v>
      </c>
      <c r="AE115" s="4">
        <v>11</v>
      </c>
      <c r="AF115" s="4">
        <v>22</v>
      </c>
      <c r="AG115" s="4">
        <v>0.61919999999999997</v>
      </c>
      <c r="AH115" s="4">
        <v>0.26860000000000001</v>
      </c>
      <c r="AI115" s="4">
        <v>0.35049999999999998</v>
      </c>
      <c r="AJ115" s="4" t="s">
        <v>465</v>
      </c>
      <c r="AK115" s="4" t="s">
        <v>471</v>
      </c>
    </row>
    <row r="116" spans="1:37" x14ac:dyDescent="0.25">
      <c r="A116" s="134">
        <v>4</v>
      </c>
      <c r="B116" s="2">
        <v>1</v>
      </c>
      <c r="C116" s="2">
        <v>0</v>
      </c>
      <c r="D116" s="2">
        <v>0.85</v>
      </c>
      <c r="E116" s="12">
        <v>0.44185936067614201</v>
      </c>
      <c r="F116" s="66">
        <v>0.21092922679221199</v>
      </c>
      <c r="G116" s="65">
        <v>5.5511151231257802E-17</v>
      </c>
      <c r="H116" s="2">
        <v>5</v>
      </c>
      <c r="I116"/>
      <c r="J116"/>
      <c r="L116" s="52"/>
      <c r="M116" s="52"/>
      <c r="N116" s="52"/>
      <c r="O116" s="52"/>
      <c r="P116" s="52"/>
      <c r="Q116" s="52"/>
      <c r="R116" s="52"/>
      <c r="S116" s="70"/>
      <c r="T116" s="87">
        <v>2</v>
      </c>
      <c r="U116" s="88" t="s">
        <v>17</v>
      </c>
      <c r="V116" s="88" t="s">
        <v>522</v>
      </c>
      <c r="W116" s="88">
        <v>6</v>
      </c>
      <c r="X116" s="89">
        <v>0.28000000000000003</v>
      </c>
      <c r="Y116" s="89">
        <v>0.15</v>
      </c>
      <c r="Z116" s="90">
        <f>X116-Y116</f>
        <v>0.13000000000000003</v>
      </c>
      <c r="AB116" s="4">
        <v>9</v>
      </c>
      <c r="AC116" s="4" t="s">
        <v>469</v>
      </c>
      <c r="AD116" s="4">
        <v>1</v>
      </c>
      <c r="AE116" s="4">
        <v>9</v>
      </c>
      <c r="AF116" s="4">
        <v>22</v>
      </c>
      <c r="AG116" s="4">
        <v>0.50139999999999996</v>
      </c>
      <c r="AH116" s="4">
        <v>0.35389999999999999</v>
      </c>
      <c r="AI116" s="4">
        <v>0.14749999999999999</v>
      </c>
      <c r="AJ116" s="4" t="s">
        <v>465</v>
      </c>
      <c r="AK116" s="4" t="s">
        <v>466</v>
      </c>
    </row>
    <row r="117" spans="1:37" x14ac:dyDescent="0.25">
      <c r="A117" s="134"/>
      <c r="B117" s="2">
        <v>1</v>
      </c>
      <c r="C117" s="2">
        <v>0</v>
      </c>
      <c r="D117" s="2">
        <v>0.97</v>
      </c>
      <c r="E117" s="12">
        <v>0.54718647352150396</v>
      </c>
      <c r="F117" s="66">
        <v>0.16823838977599601</v>
      </c>
      <c r="G117" s="2">
        <v>0</v>
      </c>
      <c r="H117" s="2">
        <v>5</v>
      </c>
      <c r="I117"/>
      <c r="J117"/>
      <c r="S117"/>
      <c r="T117" s="87">
        <v>3</v>
      </c>
      <c r="U117" s="88" t="s">
        <v>518</v>
      </c>
      <c r="V117" s="88" t="s">
        <v>523</v>
      </c>
      <c r="W117" s="88">
        <v>6</v>
      </c>
      <c r="X117" s="89">
        <v>0.48</v>
      </c>
      <c r="Y117" s="90">
        <v>0.37</v>
      </c>
      <c r="Z117" s="90">
        <f>X117-Y117</f>
        <v>0.10999999999999999</v>
      </c>
      <c r="AB117" s="4">
        <v>9</v>
      </c>
      <c r="AC117" s="4" t="s">
        <v>393</v>
      </c>
      <c r="AD117" s="4">
        <v>1</v>
      </c>
      <c r="AE117" s="4">
        <v>13</v>
      </c>
      <c r="AF117" s="4">
        <v>22</v>
      </c>
      <c r="AG117" s="4">
        <v>0.70899999999999996</v>
      </c>
      <c r="AH117" s="4">
        <v>0.41799999999999998</v>
      </c>
      <c r="AI117" s="4">
        <v>0.29110000000000003</v>
      </c>
      <c r="AJ117" s="4" t="s">
        <v>465</v>
      </c>
      <c r="AK117" s="4" t="s">
        <v>471</v>
      </c>
    </row>
    <row r="118" spans="1:37" x14ac:dyDescent="0.25">
      <c r="A118" s="134"/>
      <c r="B118" s="2">
        <v>1</v>
      </c>
      <c r="C118" s="2">
        <v>0</v>
      </c>
      <c r="D118" s="2">
        <v>0.85</v>
      </c>
      <c r="E118" s="12">
        <v>0.10980876170590299</v>
      </c>
      <c r="F118" s="66">
        <v>0.306022017146096</v>
      </c>
      <c r="G118" s="2">
        <v>0</v>
      </c>
      <c r="H118" s="2">
        <v>5</v>
      </c>
      <c r="I118"/>
      <c r="J118"/>
      <c r="K118"/>
      <c r="L118"/>
      <c r="M118"/>
      <c r="N118"/>
      <c r="O118"/>
      <c r="P118"/>
      <c r="Q118"/>
      <c r="R118"/>
      <c r="S118"/>
      <c r="T118" s="87">
        <v>4</v>
      </c>
      <c r="U118" s="88" t="s">
        <v>518</v>
      </c>
      <c r="V118" s="88" t="s">
        <v>521</v>
      </c>
      <c r="W118" s="88">
        <v>6</v>
      </c>
      <c r="X118" s="89">
        <v>0.63</v>
      </c>
      <c r="Y118" s="90">
        <v>0.54</v>
      </c>
      <c r="Z118" s="90">
        <f>X118-Y118</f>
        <v>8.9999999999999969E-2</v>
      </c>
      <c r="AB118" s="4">
        <v>9</v>
      </c>
      <c r="AC118" s="4" t="s">
        <v>395</v>
      </c>
      <c r="AD118" s="4">
        <v>1</v>
      </c>
      <c r="AE118" s="4">
        <v>13</v>
      </c>
      <c r="AF118" s="4">
        <v>22</v>
      </c>
      <c r="AG118" s="4">
        <v>0.69630000000000003</v>
      </c>
      <c r="AH118" s="4">
        <v>0.39929999999999999</v>
      </c>
      <c r="AI118" s="4">
        <v>0.29699999999999999</v>
      </c>
      <c r="AJ118" s="4" t="s">
        <v>465</v>
      </c>
      <c r="AK118" s="4" t="s">
        <v>471</v>
      </c>
    </row>
    <row r="119" spans="1:37" x14ac:dyDescent="0.25">
      <c r="A119" s="134">
        <v>5</v>
      </c>
      <c r="B119" s="2">
        <v>10</v>
      </c>
      <c r="C119" s="2">
        <v>0</v>
      </c>
      <c r="D119" s="2">
        <v>0.85</v>
      </c>
      <c r="E119" s="12">
        <v>9.9601083005906005E-2</v>
      </c>
      <c r="F119" s="66">
        <v>0.419610075868802</v>
      </c>
      <c r="G119" s="2">
        <v>0</v>
      </c>
      <c r="H119" s="2">
        <v>5</v>
      </c>
      <c r="I119"/>
      <c r="J119"/>
      <c r="K119"/>
      <c r="L119"/>
      <c r="M119"/>
      <c r="N119"/>
      <c r="O119"/>
      <c r="P119"/>
      <c r="Q119"/>
      <c r="R119"/>
      <c r="S119"/>
      <c r="T119" s="91" t="s">
        <v>456</v>
      </c>
      <c r="U119" s="91" t="s">
        <v>456</v>
      </c>
      <c r="V119" s="91" t="s">
        <v>456</v>
      </c>
      <c r="W119" s="92" t="s">
        <v>456</v>
      </c>
      <c r="X119" s="91" t="s">
        <v>456</v>
      </c>
      <c r="Y119" s="91" t="s">
        <v>456</v>
      </c>
      <c r="Z119" s="91" t="s">
        <v>456</v>
      </c>
    </row>
    <row r="120" spans="1:37" x14ac:dyDescent="0.25">
      <c r="A120" s="134"/>
      <c r="B120" s="2">
        <v>1</v>
      </c>
      <c r="C120" s="2">
        <v>0</v>
      </c>
      <c r="D120" s="2">
        <v>0.97</v>
      </c>
      <c r="E120" s="12">
        <v>0.77462433674316999</v>
      </c>
      <c r="F120" s="66">
        <v>3.2250509684786897E-2</v>
      </c>
      <c r="G120" s="2">
        <v>0</v>
      </c>
      <c r="H120" s="2">
        <v>5</v>
      </c>
      <c r="I120"/>
      <c r="J120"/>
      <c r="K120"/>
      <c r="L120"/>
      <c r="M120"/>
      <c r="N120"/>
      <c r="O120"/>
      <c r="P120"/>
      <c r="Q120"/>
      <c r="R120"/>
      <c r="S120"/>
    </row>
    <row r="121" spans="1:37" x14ac:dyDescent="0.25">
      <c r="A121" s="134"/>
      <c r="B121" s="2">
        <v>1</v>
      </c>
      <c r="C121" s="2">
        <v>0</v>
      </c>
      <c r="D121" s="2">
        <v>0.97</v>
      </c>
      <c r="E121" s="12">
        <v>0.77018391950723897</v>
      </c>
      <c r="F121" s="66">
        <v>4.3602401375722299E-2</v>
      </c>
      <c r="G121" s="2">
        <v>0</v>
      </c>
      <c r="H121" s="2">
        <v>5</v>
      </c>
      <c r="I121"/>
      <c r="J121"/>
      <c r="K121"/>
      <c r="L121"/>
      <c r="M121"/>
      <c r="N121"/>
      <c r="O121"/>
      <c r="P121"/>
      <c r="Q121"/>
      <c r="R121"/>
      <c r="S121"/>
    </row>
    <row r="122" spans="1:37" x14ac:dyDescent="0.25">
      <c r="A122" s="134">
        <v>6</v>
      </c>
      <c r="B122" s="2">
        <v>10</v>
      </c>
      <c r="C122" s="2">
        <v>0</v>
      </c>
      <c r="D122" s="2">
        <v>0.95</v>
      </c>
      <c r="E122" s="12">
        <v>0.39827355897209599</v>
      </c>
      <c r="F122" s="66">
        <v>0.22030140515650601</v>
      </c>
      <c r="G122" s="2">
        <v>0</v>
      </c>
      <c r="H122" s="2">
        <v>5</v>
      </c>
      <c r="I122"/>
      <c r="J122"/>
      <c r="K122"/>
      <c r="L122"/>
      <c r="M122"/>
      <c r="N122"/>
      <c r="O122"/>
      <c r="P122"/>
      <c r="Q122"/>
      <c r="R122"/>
      <c r="S122"/>
    </row>
    <row r="123" spans="1:37" x14ac:dyDescent="0.25">
      <c r="A123" s="134"/>
      <c r="B123" s="2">
        <v>1</v>
      </c>
      <c r="C123" s="2">
        <v>0</v>
      </c>
      <c r="D123" s="2">
        <v>0.9</v>
      </c>
      <c r="E123" s="12">
        <v>0.69600122117241403</v>
      </c>
      <c r="F123" s="66">
        <v>3.3997217237074301E-2</v>
      </c>
      <c r="G123" s="2">
        <v>0</v>
      </c>
      <c r="H123" s="2">
        <v>5</v>
      </c>
      <c r="I123"/>
      <c r="J123"/>
      <c r="K123"/>
      <c r="L123"/>
      <c r="M123"/>
      <c r="N123"/>
      <c r="O123"/>
      <c r="P123"/>
      <c r="Q123"/>
      <c r="R123"/>
      <c r="S123"/>
    </row>
    <row r="124" spans="1:37" x14ac:dyDescent="0.25">
      <c r="A124" s="134"/>
      <c r="B124" s="2">
        <v>1</v>
      </c>
      <c r="C124" s="2">
        <v>0</v>
      </c>
      <c r="D124" s="2">
        <v>0.9</v>
      </c>
      <c r="E124" s="12">
        <v>0.67427567243942499</v>
      </c>
      <c r="F124" s="66">
        <v>4.60382798602866E-2</v>
      </c>
      <c r="G124" s="2">
        <v>0</v>
      </c>
      <c r="H124" s="2">
        <v>5</v>
      </c>
      <c r="I124"/>
      <c r="J124"/>
      <c r="K124"/>
      <c r="L124"/>
      <c r="M124"/>
      <c r="N124"/>
      <c r="O124"/>
      <c r="P124"/>
      <c r="Q124"/>
      <c r="R124"/>
      <c r="S124"/>
    </row>
    <row r="125" spans="1:37" x14ac:dyDescent="0.25">
      <c r="A125" s="134">
        <v>7</v>
      </c>
      <c r="B125" s="2">
        <v>1</v>
      </c>
      <c r="C125" s="2">
        <v>0</v>
      </c>
      <c r="D125" s="2">
        <v>0.85</v>
      </c>
      <c r="E125" s="12">
        <v>0.46072125670494102</v>
      </c>
      <c r="F125" s="66">
        <v>0.21647729812267999</v>
      </c>
      <c r="G125" s="2">
        <v>0</v>
      </c>
      <c r="H125" s="2">
        <v>5</v>
      </c>
      <c r="I125"/>
      <c r="J125"/>
      <c r="K125"/>
      <c r="L125"/>
      <c r="M125"/>
      <c r="N125"/>
      <c r="O125"/>
      <c r="P125"/>
      <c r="Q125"/>
      <c r="R125"/>
      <c r="S125"/>
    </row>
    <row r="126" spans="1:37" x14ac:dyDescent="0.25">
      <c r="A126" s="134"/>
      <c r="B126" s="2">
        <v>1</v>
      </c>
      <c r="C126" s="2">
        <v>0</v>
      </c>
      <c r="D126" s="2">
        <v>0.97</v>
      </c>
      <c r="E126" s="12">
        <v>0.63246932347025797</v>
      </c>
      <c r="F126" s="66">
        <v>8.0347264087037407E-2</v>
      </c>
      <c r="G126" s="2">
        <v>0</v>
      </c>
      <c r="H126" s="2">
        <v>5</v>
      </c>
      <c r="I126"/>
      <c r="J126"/>
      <c r="K126"/>
      <c r="L126"/>
      <c r="M126"/>
      <c r="N126"/>
      <c r="O126"/>
      <c r="P126"/>
      <c r="Q126"/>
      <c r="R126"/>
      <c r="S126"/>
    </row>
    <row r="127" spans="1:37" x14ac:dyDescent="0.25">
      <c r="A127" s="134"/>
      <c r="B127" s="2">
        <v>1</v>
      </c>
      <c r="C127" s="2">
        <v>0</v>
      </c>
      <c r="D127" s="2">
        <v>0.97</v>
      </c>
      <c r="E127" s="12">
        <v>0.70940541070262397</v>
      </c>
      <c r="F127" s="66">
        <v>7.4450176829495798E-2</v>
      </c>
      <c r="G127" s="2">
        <v>0</v>
      </c>
      <c r="H127" s="2">
        <v>5</v>
      </c>
      <c r="I127"/>
      <c r="J127"/>
      <c r="K127"/>
      <c r="L127"/>
      <c r="M127"/>
      <c r="N127"/>
      <c r="O127"/>
      <c r="P127"/>
      <c r="Q127"/>
      <c r="R127"/>
      <c r="S127"/>
    </row>
    <row r="128" spans="1:37" x14ac:dyDescent="0.25">
      <c r="A128" s="134">
        <v>8</v>
      </c>
      <c r="B128" s="2">
        <v>5</v>
      </c>
      <c r="C128" s="2">
        <v>0</v>
      </c>
      <c r="D128" s="2">
        <v>0.97</v>
      </c>
      <c r="E128" s="12">
        <v>0.78726975333509697</v>
      </c>
      <c r="F128" s="66">
        <v>2.80991735259765E-2</v>
      </c>
      <c r="G128" s="2">
        <v>0</v>
      </c>
      <c r="H128" s="2">
        <v>5</v>
      </c>
      <c r="I128"/>
      <c r="J128"/>
      <c r="K128"/>
      <c r="L128"/>
      <c r="M128"/>
      <c r="N128"/>
      <c r="O128"/>
      <c r="P128"/>
      <c r="Q128"/>
      <c r="R128"/>
      <c r="S128"/>
    </row>
    <row r="129" spans="1:19" x14ac:dyDescent="0.25">
      <c r="A129" s="134"/>
      <c r="B129" s="2">
        <v>1</v>
      </c>
      <c r="C129" s="2">
        <v>0</v>
      </c>
      <c r="D129" s="2">
        <v>0.97</v>
      </c>
      <c r="E129" s="12">
        <v>0.60864044450282095</v>
      </c>
      <c r="F129" s="66">
        <v>4.9337597649550098E-2</v>
      </c>
      <c r="G129" s="2">
        <v>0</v>
      </c>
      <c r="H129" s="2">
        <v>5</v>
      </c>
      <c r="I129"/>
      <c r="J129"/>
      <c r="K129"/>
      <c r="L129"/>
      <c r="M129"/>
      <c r="N129"/>
      <c r="O129"/>
      <c r="P129"/>
      <c r="Q129"/>
      <c r="R129"/>
      <c r="S129"/>
    </row>
    <row r="130" spans="1:19" x14ac:dyDescent="0.25">
      <c r="A130" s="134"/>
      <c r="B130" s="2">
        <v>1</v>
      </c>
      <c r="C130" s="2">
        <v>0</v>
      </c>
      <c r="D130" s="2">
        <v>0.95</v>
      </c>
      <c r="E130" s="12">
        <v>0.74163799233400696</v>
      </c>
      <c r="F130" s="66">
        <v>3.54820385754245E-2</v>
      </c>
      <c r="G130" s="2">
        <v>0</v>
      </c>
      <c r="H130" s="2">
        <v>5</v>
      </c>
      <c r="I130"/>
      <c r="J130"/>
      <c r="K130"/>
      <c r="L130"/>
      <c r="M130"/>
      <c r="N130"/>
      <c r="O130"/>
      <c r="P130"/>
      <c r="Q130"/>
      <c r="R130"/>
      <c r="S130"/>
    </row>
    <row r="131" spans="1:19" x14ac:dyDescent="0.25">
      <c r="A131" s="134">
        <v>9</v>
      </c>
      <c r="B131" s="2">
        <v>1</v>
      </c>
      <c r="C131" s="2">
        <v>0</v>
      </c>
      <c r="D131" s="2">
        <v>0.85</v>
      </c>
      <c r="E131" s="12">
        <v>0.52594454871622598</v>
      </c>
      <c r="F131" s="66">
        <v>0.19192112797448299</v>
      </c>
      <c r="G131" s="2">
        <v>0</v>
      </c>
      <c r="H131" s="2">
        <v>5</v>
      </c>
      <c r="I131"/>
      <c r="J131"/>
      <c r="K131"/>
      <c r="L131"/>
      <c r="M131"/>
      <c r="N131"/>
      <c r="O131"/>
      <c r="P131"/>
      <c r="Q131"/>
      <c r="R131"/>
      <c r="S131"/>
    </row>
    <row r="132" spans="1:19" x14ac:dyDescent="0.25">
      <c r="A132" s="134"/>
      <c r="B132" s="2">
        <v>1</v>
      </c>
      <c r="C132" s="2">
        <v>0</v>
      </c>
      <c r="D132" s="2">
        <v>0.97</v>
      </c>
      <c r="E132" s="12">
        <v>0.69227621939553197</v>
      </c>
      <c r="F132" s="66">
        <v>0.148812251535029</v>
      </c>
      <c r="G132" s="2">
        <v>0</v>
      </c>
      <c r="H132" s="2">
        <v>5</v>
      </c>
      <c r="I132"/>
      <c r="J132"/>
      <c r="K132"/>
      <c r="L132"/>
      <c r="M132"/>
      <c r="N132"/>
      <c r="O132"/>
      <c r="P132"/>
      <c r="Q132"/>
      <c r="R132"/>
      <c r="S132"/>
    </row>
    <row r="133" spans="1:19" x14ac:dyDescent="0.25">
      <c r="A133" s="134"/>
      <c r="B133" s="2">
        <v>1</v>
      </c>
      <c r="C133" s="2">
        <v>0</v>
      </c>
      <c r="D133" s="2">
        <v>0.97</v>
      </c>
      <c r="E133" s="12">
        <v>0.72025717905217901</v>
      </c>
      <c r="F133" s="66">
        <v>0.142895568361147</v>
      </c>
      <c r="G133" s="2">
        <v>0</v>
      </c>
      <c r="H133" s="2">
        <v>5</v>
      </c>
      <c r="I133"/>
      <c r="J133"/>
      <c r="K133"/>
      <c r="L133"/>
      <c r="M133"/>
      <c r="N133"/>
      <c r="O133"/>
      <c r="P133"/>
      <c r="Q133"/>
      <c r="R133"/>
      <c r="S133"/>
    </row>
  </sheetData>
  <mergeCells count="28">
    <mergeCell ref="Y92:Y94"/>
    <mergeCell ref="Y95:Y97"/>
    <mergeCell ref="X89:X91"/>
    <mergeCell ref="X92:X94"/>
    <mergeCell ref="X95:X97"/>
    <mergeCell ref="Y86:Y88"/>
    <mergeCell ref="Y89:Y91"/>
    <mergeCell ref="X71:X73"/>
    <mergeCell ref="X74:X76"/>
    <mergeCell ref="X77:X79"/>
    <mergeCell ref="X80:X82"/>
    <mergeCell ref="X83:X85"/>
    <mergeCell ref="X86:X88"/>
    <mergeCell ref="Y71:Y73"/>
    <mergeCell ref="Y74:Y76"/>
    <mergeCell ref="Y77:Y79"/>
    <mergeCell ref="Y80:Y82"/>
    <mergeCell ref="Y83:Y85"/>
    <mergeCell ref="A125:A127"/>
    <mergeCell ref="A128:A130"/>
    <mergeCell ref="A131:A133"/>
    <mergeCell ref="M112:M114"/>
    <mergeCell ref="A107:A109"/>
    <mergeCell ref="A110:A112"/>
    <mergeCell ref="A113:A115"/>
    <mergeCell ref="A116:A118"/>
    <mergeCell ref="A119:A121"/>
    <mergeCell ref="A122:A124"/>
  </mergeCells>
  <conditionalFormatting sqref="E107:E133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L70:M96">
    <cfRule type="colorScale" priority="6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M10:N36">
    <cfRule type="colorScale" priority="7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N70:N96">
    <cfRule type="colorScale" priority="4">
      <colorScale>
        <cfvo type="num" val="0"/>
        <cfvo type="num" val="0.5"/>
        <color theme="0"/>
        <color rgb="FFC00000"/>
      </colorScale>
    </cfRule>
  </conditionalFormatting>
  <conditionalFormatting sqref="AD71:AD97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E71:AE97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multi_qspr</vt:lpstr>
      <vt:lpstr>Sheet6</vt:lpstr>
      <vt:lpstr>Sheet7</vt:lpstr>
      <vt:lpstr>Sheet8</vt:lpstr>
      <vt:lpstr>Sheet10</vt:lpstr>
      <vt:lpstr>Sheet12</vt:lpstr>
    </vt:vector>
  </TitlesOfParts>
  <Company>Bio-Techne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Tryg Nelson</dc:creator>
  <cp:lastModifiedBy>Tryg Nelson</cp:lastModifiedBy>
  <cp:lastPrinted>2025-10-15T17:23:04Z</cp:lastPrinted>
  <dcterms:created xsi:type="dcterms:W3CDTF">2025-10-07T17:01:28Z</dcterms:created>
  <dcterms:modified xsi:type="dcterms:W3CDTF">2025-11-17T20:40:39Z</dcterms:modified>
</cp:coreProperties>
</file>