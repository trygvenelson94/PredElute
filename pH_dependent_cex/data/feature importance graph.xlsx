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yg.nelson\predelute\"/>
    </mc:Choice>
  </mc:AlternateContent>
  <xr:revisionPtr revIDLastSave="0" documentId="8_{00110995-BB10-4B2A-A1F1-4A344F4BB446}" xr6:coauthVersionLast="47" xr6:coauthVersionMax="47" xr10:uidLastSave="{00000000-0000-0000-0000-000000000000}"/>
  <bookViews>
    <workbookView xWindow="-120" yWindow="-120" windowWidth="29040" windowHeight="15720" activeTab="1" xr2:uid="{9E584B6D-2EB0-4377-AA36-AF7D5610C1B7}"/>
  </bookViews>
  <sheets>
    <sheet name="feature_importance_matrix_with_" sheetId="1" r:id="rId1"/>
    <sheet name="feature importance graph" sheetId="2" r:id="rId2"/>
    <sheet name="Sheet2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8" i="2"/>
</calcChain>
</file>

<file path=xl/sharedStrings.xml><?xml version="1.0" encoding="utf-8"?>
<sst xmlns="http://schemas.openxmlformats.org/spreadsheetml/2006/main" count="206" uniqueCount="113">
  <si>
    <t>model</t>
  </si>
  <si>
    <t>ALASurfFrac</t>
  </si>
  <si>
    <t>ARGSurfFrac</t>
  </si>
  <si>
    <t>ASPSurfFrac</t>
  </si>
  <si>
    <t>CYSSurfFrac</t>
  </si>
  <si>
    <t>GLNSurfFrac</t>
  </si>
  <si>
    <t>GLYSurfFrac</t>
  </si>
  <si>
    <t>HISSurfFrac</t>
  </si>
  <si>
    <t>ILESurfFrac</t>
  </si>
  <si>
    <t>INT_aliphatic_cluster</t>
  </si>
  <si>
    <t>INT_arg_lys_ratio</t>
  </si>
  <si>
    <t>INT_aromatic_hydrophobic</t>
  </si>
  <si>
    <t>INT_aromatic_sum</t>
  </si>
  <si>
    <t>INT_gln_charge</t>
  </si>
  <si>
    <t>INT_shape_arg</t>
  </si>
  <si>
    <t>INT_trp_tyr</t>
  </si>
  <si>
    <t>Isoelectric point</t>
  </si>
  <si>
    <t>SERSurfFrac</t>
  </si>
  <si>
    <t>Shape max</t>
  </si>
  <si>
    <t>SurfMhpMin</t>
  </si>
  <si>
    <t>SurfNegMhpStd</t>
  </si>
  <si>
    <t>THRSurfFrac</t>
  </si>
  <si>
    <t>TRPSurfFrac</t>
  </si>
  <si>
    <t>TYRSurfFrac</t>
  </si>
  <si>
    <t>VALSurfFrac</t>
  </si>
  <si>
    <t>exp1_0.025M</t>
  </si>
  <si>
    <t>exp1_0.1M</t>
  </si>
  <si>
    <t>exp1_0M</t>
  </si>
  <si>
    <t>exp2_0.025M</t>
  </si>
  <si>
    <t>exp2_0.1M</t>
  </si>
  <si>
    <t>exp2_0M</t>
  </si>
  <si>
    <t>exp3_0.025M</t>
  </si>
  <si>
    <t>exp3_0.1M</t>
  </si>
  <si>
    <t>exp3_0M</t>
  </si>
  <si>
    <t>exp4_0.025M</t>
  </si>
  <si>
    <t>exp4_0.1M</t>
  </si>
  <si>
    <t>exp4_0M</t>
  </si>
  <si>
    <t>exp5_CM_Seph</t>
  </si>
  <si>
    <t>exp5_Capto_MMC</t>
  </si>
  <si>
    <t>exp5_SP_Seph</t>
  </si>
  <si>
    <t>exp6_CM_Seph</t>
  </si>
  <si>
    <t>exp6_Capto_MMC</t>
  </si>
  <si>
    <t>exp6_SP_Seph</t>
  </si>
  <si>
    <t>exp7_20pct_ethylene_glycol</t>
  </si>
  <si>
    <t>exp7_20pct_propylene_glycol</t>
  </si>
  <si>
    <t>exp7_No_modifier</t>
  </si>
  <si>
    <t>exp8_0.01M</t>
  </si>
  <si>
    <t>exp8_0.025M</t>
  </si>
  <si>
    <t>exp8_0M</t>
  </si>
  <si>
    <t>exp9_0.01M</t>
  </si>
  <si>
    <t>exp9_0.025M</t>
  </si>
  <si>
    <t>exp9_0M</t>
  </si>
  <si>
    <t>aa type</t>
  </si>
  <si>
    <t>category</t>
  </si>
  <si>
    <t>aa</t>
  </si>
  <si>
    <t>hydrophobic</t>
  </si>
  <si>
    <t>positive</t>
  </si>
  <si>
    <t>negative</t>
  </si>
  <si>
    <t>other</t>
  </si>
  <si>
    <t>polar uncharged</t>
  </si>
  <si>
    <t>0.025M Arginine on CM Sepharose FF pH 6</t>
  </si>
  <si>
    <t>0.1M Arginine on CM Sepharose FF pH 6</t>
  </si>
  <si>
    <t>0M Arginine on CM Sepharose FF pH 6</t>
  </si>
  <si>
    <t>0,025M Arginine on Capto MMC pH 6</t>
  </si>
  <si>
    <t>0.1M Arginine on Capto MMC pH 6</t>
  </si>
  <si>
    <t>0M Arginine on Capto MMC pH 6</t>
  </si>
  <si>
    <t>0.025M Guanidine on CM Sepharose FF pH 6</t>
  </si>
  <si>
    <t>0.1M Guanidine on CM Sepharose pH 6</t>
  </si>
  <si>
    <t>0M Guanidine on CM Sepharose FF pH 6</t>
  </si>
  <si>
    <t>0.025M Guanidine on Capto MMC pH 6</t>
  </si>
  <si>
    <t>0.1M Guanidine on Capto MMC pH 6</t>
  </si>
  <si>
    <t>0M Guanidine on Capto MMC pH 6</t>
  </si>
  <si>
    <t>CM Sepharose FF pH 5</t>
  </si>
  <si>
    <t>Capto MMC pH 5</t>
  </si>
  <si>
    <t>SP Sepharose FF pH 5</t>
  </si>
  <si>
    <t>CM Sepharose FF pH 6</t>
  </si>
  <si>
    <t>Capto MMC pH 6</t>
  </si>
  <si>
    <t>SP Sepharose FF pH 6</t>
  </si>
  <si>
    <t>20% Ethylene Glycol on Capto MMC pH 6</t>
  </si>
  <si>
    <t>20% Propylene Glycol on Capto MMC pH 6</t>
  </si>
  <si>
    <t>No Modifier (poly-ols)</t>
  </si>
  <si>
    <t>0.01 Sodium Caprylate on CM Sepharose FF pH 6</t>
  </si>
  <si>
    <t>0.025M Sodium Caprylate on CM Sepharose FF pH 6</t>
  </si>
  <si>
    <t>0M Sodium Caprylate on CM Sepharose FF pH 6</t>
  </si>
  <si>
    <t>0.01M Sodium Caprylate on Capto MMC pH 6</t>
  </si>
  <si>
    <t>0M Sodium Caprylate on Capto MMC pH 6</t>
  </si>
  <si>
    <t>0.025M Sodium Caprylate on Capto MMC pH 6</t>
  </si>
  <si>
    <t>Feature</t>
  </si>
  <si>
    <t>Description</t>
  </si>
  <si>
    <t xml:space="preserve">normalized fraction of surface area occupied by alanine </t>
  </si>
  <si>
    <t>normalized fraction of surface area occupied by isoleucine</t>
  </si>
  <si>
    <t xml:space="preserve">normalized fraction of surface area occupied by tryptophan </t>
  </si>
  <si>
    <t xml:space="preserve">normalized fraction of surface area occupied by tyrosine </t>
  </si>
  <si>
    <t xml:space="preserve">normalized fraction of surface area occupied by valine </t>
  </si>
  <si>
    <t xml:space="preserve">normalized fraction of surface area occupied by asparagine </t>
  </si>
  <si>
    <t xml:space="preserve">normalized fraction of surface area occupied by cystine </t>
  </si>
  <si>
    <t xml:space="preserve">normalized fraction of surface area occupied by glycine </t>
  </si>
  <si>
    <t xml:space="preserve">normalized fraction of surface area occupied by glutamine </t>
  </si>
  <si>
    <t xml:space="preserve">normalized fraction of surface area occupied by serine </t>
  </si>
  <si>
    <t xml:space="preserve">normalized fraction of surface area occupied by threonine </t>
  </si>
  <si>
    <t xml:space="preserve">normalized fraction of surface area occupied by arginine </t>
  </si>
  <si>
    <t xml:space="preserve">normalized fraction of surface area occupied by histidine </t>
  </si>
  <si>
    <t>pH at which protein has net zero charge</t>
  </si>
  <si>
    <t xml:space="preserve">maximum dimension of protien (Å) </t>
  </si>
  <si>
    <t>minimum hydrophobicity on protein surface (most hydrophilic surface patch)</t>
  </si>
  <si>
    <t>Standard deviation of negative hydrophobicity of protein surface (i.e. variability of hydrophilic patches; highe = more heterogeneous hydrophilic distribution</t>
  </si>
  <si>
    <t>(ILESurfFrac)*(LEUSurfFrac)*(VALSurfFrac); captures clustering of hydrophobic residues</t>
  </si>
  <si>
    <t>(ARGSurfFrac)/(LYSSurfFrac); difference in charge distribution patterns (Arg is more delocalized)</t>
  </si>
  <si>
    <t>((TRPSurfFrac)+(TYRSurfFrac))*(SurfMhpMean); aromatic residues weighted by mean hydrophobicity, captures aromatic-hydrophobic interactions</t>
  </si>
  <si>
    <t>(TRPSurfFrac)+(TYRSurfFrac)+(PHESurfFrac); total aromatic amino acid surface fraction, captures pi-stacking and aromatic interactions</t>
  </si>
  <si>
    <t>(GLNSurfFrac)*(FormalCharge); glutamine fraction weighted by protein charge, captures strong polar-charge residue interactions</t>
  </si>
  <si>
    <t>(Shape_max)*(ARGSurfFrac); protein elongation weighted by arginine content, captures relationship between 3D shape and charged SA</t>
  </si>
  <si>
    <t>(TRPSurfFrac)*(TYRSurfFrac); captures aromatic-aromatic 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</si>
</sst>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ont="1" applyFill="1"/>
    <xf numFmtId="0" fontId="0" fillId="0" borderId="0" xfId="0" applyFont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/>
              <a:t>Feature Importance</a:t>
            </a:r>
            <a:r>
              <a:rPr lang="en-US" sz="3600" baseline="0"/>
              <a:t> (log scale)</a:t>
            </a:r>
            <a:endParaRPr lang="en-US" sz="3600"/>
          </a:p>
        </c:rich>
      </c:tx>
      <c:layout>
        <c:manualLayout>
          <c:xMode val="edge"/>
          <c:yMode val="edge"/>
          <c:x val="0.51084349734584378"/>
          <c:y val="1.9635163697203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526004566511454"/>
          <c:y val="0.12301556980513099"/>
          <c:w val="0.56569845331000779"/>
          <c:h val="0.80799344031559628"/>
        </c:manualLayout>
      </c:layout>
      <c:radarChart>
        <c:radarStyle val="marker"/>
        <c:varyColors val="0"/>
        <c:ser>
          <c:idx val="0"/>
          <c:order val="0"/>
          <c:tx>
            <c:strRef>
              <c:f>'feature importance graph'!$D$1</c:f>
              <c:strCache>
                <c:ptCount val="1"/>
                <c:pt idx="0">
                  <c:v>0.025M Arginine on CM Sepharose FF pH 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graph'!$D$2:$D$25</c:f>
              <c:numCache>
                <c:formatCode>General</c:formatCode>
                <c:ptCount val="24"/>
                <c:pt idx="0">
                  <c:v>1.6595156889855601E-3</c:v>
                </c:pt>
                <c:pt idx="1">
                  <c:v>1.8786880673766802E-2</c:v>
                </c:pt>
                <c:pt idx="2">
                  <c:v>3.4164732246172898E-2</c:v>
                </c:pt>
                <c:pt idx="3">
                  <c:v>3.1055851263193299E-2</c:v>
                </c:pt>
                <c:pt idx="4">
                  <c:v>1.8872599752629501E-2</c:v>
                </c:pt>
                <c:pt idx="5">
                  <c:v>9.0075552038734394E-3</c:v>
                </c:pt>
                <c:pt idx="6">
                  <c:v>3.7266836829025298E-3</c:v>
                </c:pt>
                <c:pt idx="7">
                  <c:v>8.6942088582572397E-3</c:v>
                </c:pt>
                <c:pt idx="8">
                  <c:v>3.4960519531053703E-2</c:v>
                </c:pt>
                <c:pt idx="9">
                  <c:v>2.2285634362705298E-2</c:v>
                </c:pt>
                <c:pt idx="10">
                  <c:v>3.1853077565031702E-2</c:v>
                </c:pt>
                <c:pt idx="11">
                  <c:v>3.0014230562922701E-2</c:v>
                </c:pt>
                <c:pt idx="12">
                  <c:v>7.5481052537588996E-3</c:v>
                </c:pt>
                <c:pt idx="13">
                  <c:v>2.1718987573496201E-2</c:v>
                </c:pt>
                <c:pt idx="14">
                  <c:v>3.3275779315888897E-2</c:v>
                </c:pt>
                <c:pt idx="15">
                  <c:v>1.48433932130071E-2</c:v>
                </c:pt>
                <c:pt idx="16">
                  <c:v>1.46696790120088E-2</c:v>
                </c:pt>
                <c:pt idx="17">
                  <c:v>3.1236339024768502E-2</c:v>
                </c:pt>
                <c:pt idx="18">
                  <c:v>2.6751782875007801E-2</c:v>
                </c:pt>
                <c:pt idx="19">
                  <c:v>1.6088968779701299E-2</c:v>
                </c:pt>
                <c:pt idx="20">
                  <c:v>1.6570965886055399E-2</c:v>
                </c:pt>
                <c:pt idx="21">
                  <c:v>1.39815216096536E-2</c:v>
                </c:pt>
                <c:pt idx="22">
                  <c:v>4.5368718813723003E-3</c:v>
                </c:pt>
                <c:pt idx="23">
                  <c:v>6.27044160075941E-3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F-48E2-988D-151B9378F6FB}"/>
            </c:ext>
          </c:extLst>
        </c:ser>
        <c:ser>
          <c:idx val="1"/>
          <c:order val="1"/>
          <c:tx>
            <c:strRef>
              <c:f>'feature importance graph'!$E$1</c:f>
              <c:strCache>
                <c:ptCount val="1"/>
                <c:pt idx="0">
                  <c:v>0.1M Arginine on CM Sepharose FF pH 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graph'!$E$2:$E$25</c:f>
              <c:numCache>
                <c:formatCode>General</c:formatCode>
                <c:ptCount val="24"/>
                <c:pt idx="0">
                  <c:v>6.4876711589829999E-3</c:v>
                </c:pt>
                <c:pt idx="1">
                  <c:v>2.4969920217859699E-2</c:v>
                </c:pt>
                <c:pt idx="2">
                  <c:v>3.3863333081213802E-2</c:v>
                </c:pt>
                <c:pt idx="3">
                  <c:v>2.96787212949985E-2</c:v>
                </c:pt>
                <c:pt idx="4">
                  <c:v>6.6996192272951198E-3</c:v>
                </c:pt>
                <c:pt idx="5">
                  <c:v>1.0845477140523E-2</c:v>
                </c:pt>
                <c:pt idx="6">
                  <c:v>8.8101233692607899E-3</c:v>
                </c:pt>
                <c:pt idx="7">
                  <c:v>4.8826540736021298E-3</c:v>
                </c:pt>
                <c:pt idx="8">
                  <c:v>4.18246833260204E-2</c:v>
                </c:pt>
                <c:pt idx="9">
                  <c:v>2.9291417824314301E-2</c:v>
                </c:pt>
                <c:pt idx="10">
                  <c:v>3.2105434797390003E-2</c:v>
                </c:pt>
                <c:pt idx="11">
                  <c:v>3.8000391763567697E-2</c:v>
                </c:pt>
                <c:pt idx="12">
                  <c:v>8.9498626871036997E-3</c:v>
                </c:pt>
                <c:pt idx="13">
                  <c:v>1.74176244087836E-2</c:v>
                </c:pt>
                <c:pt idx="14">
                  <c:v>4.1591717382261799E-2</c:v>
                </c:pt>
                <c:pt idx="15">
                  <c:v>1.5643485229945301E-2</c:v>
                </c:pt>
                <c:pt idx="16">
                  <c:v>1.37485041021749E-2</c:v>
                </c:pt>
                <c:pt idx="17">
                  <c:v>3.2285168104643998E-2</c:v>
                </c:pt>
                <c:pt idx="18">
                  <c:v>3.5617665366585699E-2</c:v>
                </c:pt>
                <c:pt idx="19">
                  <c:v>6.1699914787626004E-3</c:v>
                </c:pt>
                <c:pt idx="20">
                  <c:v>1.8101798823459601E-2</c:v>
                </c:pt>
                <c:pt idx="21">
                  <c:v>7.3473478296888304E-3</c:v>
                </c:pt>
                <c:pt idx="22">
                  <c:v>1.25728664322613E-2</c:v>
                </c:pt>
                <c:pt idx="23">
                  <c:v>9.0433617995787797E-3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F-48E2-988D-151B9378F6FB}"/>
            </c:ext>
          </c:extLst>
        </c:ser>
        <c:ser>
          <c:idx val="2"/>
          <c:order val="2"/>
          <c:tx>
            <c:strRef>
              <c:f>'feature importance graph'!$F$1</c:f>
              <c:strCache>
                <c:ptCount val="1"/>
                <c:pt idx="0">
                  <c:v>0M Arginine on CM Sepharose FF pH 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graph'!$F$2:$F$25</c:f>
              <c:numCache>
                <c:formatCode>General</c:formatCode>
                <c:ptCount val="24"/>
                <c:pt idx="0">
                  <c:v>1.83829260273045E-2</c:v>
                </c:pt>
                <c:pt idx="1">
                  <c:v>3.42537202522738E-2</c:v>
                </c:pt>
                <c:pt idx="2">
                  <c:v>2.3657857073762101E-2</c:v>
                </c:pt>
                <c:pt idx="3">
                  <c:v>2.3094987176762002E-2</c:v>
                </c:pt>
                <c:pt idx="4">
                  <c:v>1.6760047142065901E-2</c:v>
                </c:pt>
                <c:pt idx="5">
                  <c:v>3.5800671452332301E-3</c:v>
                </c:pt>
                <c:pt idx="6">
                  <c:v>1.6441401694867599E-2</c:v>
                </c:pt>
                <c:pt idx="7">
                  <c:v>1.7312331533326599E-3</c:v>
                </c:pt>
                <c:pt idx="8">
                  <c:v>2.76717345270019E-2</c:v>
                </c:pt>
                <c:pt idx="9">
                  <c:v>2.0784634406971401E-2</c:v>
                </c:pt>
                <c:pt idx="10">
                  <c:v>3.1990985601962299E-2</c:v>
                </c:pt>
                <c:pt idx="11">
                  <c:v>2.6654744715396798E-2</c:v>
                </c:pt>
                <c:pt idx="12">
                  <c:v>1.85107908368361E-3</c:v>
                </c:pt>
                <c:pt idx="13">
                  <c:v>2.8763567118524801E-2</c:v>
                </c:pt>
                <c:pt idx="14">
                  <c:v>2.7151148966859499E-2</c:v>
                </c:pt>
                <c:pt idx="15">
                  <c:v>1.2971013519273799E-2</c:v>
                </c:pt>
                <c:pt idx="16">
                  <c:v>1.3013474841529401E-2</c:v>
                </c:pt>
                <c:pt idx="17">
                  <c:v>2.5914745274789801E-2</c:v>
                </c:pt>
                <c:pt idx="18">
                  <c:v>2.4543161279075E-2</c:v>
                </c:pt>
                <c:pt idx="19">
                  <c:v>1.6846921580398799E-2</c:v>
                </c:pt>
                <c:pt idx="20">
                  <c:v>1.77304048305181E-2</c:v>
                </c:pt>
                <c:pt idx="21">
                  <c:v>6.6896584636056801E-3</c:v>
                </c:pt>
                <c:pt idx="22">
                  <c:v>3.9223219557989698E-3</c:v>
                </c:pt>
                <c:pt idx="23">
                  <c:v>1.34809287678907E-2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0F-48E2-988D-151B9378F6FB}"/>
            </c:ext>
          </c:extLst>
        </c:ser>
        <c:ser>
          <c:idx val="3"/>
          <c:order val="3"/>
          <c:tx>
            <c:strRef>
              <c:f>'feature importance graph'!$G$1</c:f>
              <c:strCache>
                <c:ptCount val="1"/>
                <c:pt idx="0">
                  <c:v>0,025M Arginine on Capto MMC pH 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graph'!$G$2:$G$25</c:f>
              <c:numCache>
                <c:formatCode>General</c:formatCode>
                <c:ptCount val="24"/>
                <c:pt idx="0">
                  <c:v>1.3376969397375401E-2</c:v>
                </c:pt>
                <c:pt idx="1">
                  <c:v>9.1980066157910396E-3</c:v>
                </c:pt>
                <c:pt idx="2">
                  <c:v>4.26645531173672E-2</c:v>
                </c:pt>
                <c:pt idx="3">
                  <c:v>3.7053485664498897E-2</c:v>
                </c:pt>
                <c:pt idx="4">
                  <c:v>1.44151338287077E-2</c:v>
                </c:pt>
                <c:pt idx="5">
                  <c:v>8.2875873405355294E-3</c:v>
                </c:pt>
                <c:pt idx="6">
                  <c:v>2.3836522582913099E-2</c:v>
                </c:pt>
                <c:pt idx="7">
                  <c:v>1.0530785149168999E-2</c:v>
                </c:pt>
                <c:pt idx="8">
                  <c:v>3.7271005316228303E-2</c:v>
                </c:pt>
                <c:pt idx="9">
                  <c:v>1.96385331742992E-2</c:v>
                </c:pt>
                <c:pt idx="10">
                  <c:v>2.84140415668531E-2</c:v>
                </c:pt>
                <c:pt idx="11">
                  <c:v>3.2217227205818003E-2</c:v>
                </c:pt>
                <c:pt idx="12">
                  <c:v>2.1287792115148099E-2</c:v>
                </c:pt>
                <c:pt idx="13">
                  <c:v>1.64652790022266E-2</c:v>
                </c:pt>
                <c:pt idx="14">
                  <c:v>3.6580068975032097E-2</c:v>
                </c:pt>
                <c:pt idx="15">
                  <c:v>2.0107969895627201E-2</c:v>
                </c:pt>
                <c:pt idx="16">
                  <c:v>1.3562437771961901E-2</c:v>
                </c:pt>
                <c:pt idx="17">
                  <c:v>3.0863696454723099E-2</c:v>
                </c:pt>
                <c:pt idx="18">
                  <c:v>3.0938100195836499E-2</c:v>
                </c:pt>
                <c:pt idx="19">
                  <c:v>8.0381047562284799E-3</c:v>
                </c:pt>
                <c:pt idx="20">
                  <c:v>1.4441418379069201E-2</c:v>
                </c:pt>
                <c:pt idx="21">
                  <c:v>7.5082224486501502E-3</c:v>
                </c:pt>
                <c:pt idx="22">
                  <c:v>1.25788331638665E-2</c:v>
                </c:pt>
                <c:pt idx="23">
                  <c:v>8.9028143046023401E-3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0F-48E2-988D-151B9378F6FB}"/>
            </c:ext>
          </c:extLst>
        </c:ser>
        <c:ser>
          <c:idx val="4"/>
          <c:order val="4"/>
          <c:tx>
            <c:strRef>
              <c:f>'feature importance graph'!$H$1</c:f>
              <c:strCache>
                <c:ptCount val="1"/>
                <c:pt idx="0">
                  <c:v>0.1M Arginine on Capto MMC pH 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graph'!$H$2:$H$25</c:f>
              <c:numCache>
                <c:formatCode>General</c:formatCode>
                <c:ptCount val="24"/>
                <c:pt idx="0">
                  <c:v>1.46061353814724E-2</c:v>
                </c:pt>
                <c:pt idx="1">
                  <c:v>9.8575936382100295E-3</c:v>
                </c:pt>
                <c:pt idx="2">
                  <c:v>3.8979003637476799E-2</c:v>
                </c:pt>
                <c:pt idx="3">
                  <c:v>3.5373505184999397E-2</c:v>
                </c:pt>
                <c:pt idx="4">
                  <c:v>1.48013266736047E-2</c:v>
                </c:pt>
                <c:pt idx="5">
                  <c:v>5.1092228917108398E-3</c:v>
                </c:pt>
                <c:pt idx="6">
                  <c:v>2.6571738811739298E-2</c:v>
                </c:pt>
                <c:pt idx="7">
                  <c:v>1.0678909633725E-2</c:v>
                </c:pt>
                <c:pt idx="8">
                  <c:v>3.6057809565993103E-2</c:v>
                </c:pt>
                <c:pt idx="9">
                  <c:v>1.8330933071834601E-2</c:v>
                </c:pt>
                <c:pt idx="10">
                  <c:v>2.7402925865569399E-2</c:v>
                </c:pt>
                <c:pt idx="11">
                  <c:v>2.9383562445155501E-2</c:v>
                </c:pt>
                <c:pt idx="12">
                  <c:v>2.2287111352578201E-2</c:v>
                </c:pt>
                <c:pt idx="13">
                  <c:v>1.64098390951899E-2</c:v>
                </c:pt>
                <c:pt idx="14">
                  <c:v>3.3026476550327803E-2</c:v>
                </c:pt>
                <c:pt idx="15">
                  <c:v>2.06378989027853E-2</c:v>
                </c:pt>
                <c:pt idx="16">
                  <c:v>1.3618886344088E-2</c:v>
                </c:pt>
                <c:pt idx="17">
                  <c:v>2.88967544069758E-2</c:v>
                </c:pt>
                <c:pt idx="18">
                  <c:v>2.8797724682959099E-2</c:v>
                </c:pt>
                <c:pt idx="19">
                  <c:v>9.3108491309318708E-3</c:v>
                </c:pt>
                <c:pt idx="20">
                  <c:v>1.51521627153808E-2</c:v>
                </c:pt>
                <c:pt idx="21">
                  <c:v>5.2224809993889299E-3</c:v>
                </c:pt>
                <c:pt idx="22">
                  <c:v>1.2480706067958E-2</c:v>
                </c:pt>
                <c:pt idx="23">
                  <c:v>1.04993846801722E-2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0F-48E2-988D-151B9378F6FB}"/>
            </c:ext>
          </c:extLst>
        </c:ser>
        <c:ser>
          <c:idx val="5"/>
          <c:order val="5"/>
          <c:tx>
            <c:strRef>
              <c:f>'feature importance graph'!$I$1</c:f>
              <c:strCache>
                <c:ptCount val="1"/>
                <c:pt idx="0">
                  <c:v>0M Arginine on Capto MMC pH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graph'!$I$2:$I$25</c:f>
              <c:numCache>
                <c:formatCode>General</c:formatCode>
                <c:ptCount val="24"/>
                <c:pt idx="0">
                  <c:v>4.3552179782125697E-3</c:v>
                </c:pt>
                <c:pt idx="1">
                  <c:v>1.6966600245447799E-2</c:v>
                </c:pt>
                <c:pt idx="2">
                  <c:v>3.8947339065556003E-2</c:v>
                </c:pt>
                <c:pt idx="3">
                  <c:v>3.8764916409031701E-2</c:v>
                </c:pt>
                <c:pt idx="4">
                  <c:v>4.4570222019811902E-3</c:v>
                </c:pt>
                <c:pt idx="5">
                  <c:v>1.1245044165165001E-2</c:v>
                </c:pt>
                <c:pt idx="6">
                  <c:v>2.0158541658273601E-2</c:v>
                </c:pt>
                <c:pt idx="7">
                  <c:v>1.00898625069146E-2</c:v>
                </c:pt>
                <c:pt idx="8">
                  <c:v>3.5258692406440799E-2</c:v>
                </c:pt>
                <c:pt idx="9">
                  <c:v>2.29632177046688E-2</c:v>
                </c:pt>
                <c:pt idx="10">
                  <c:v>3.0410322911878299E-2</c:v>
                </c:pt>
                <c:pt idx="11">
                  <c:v>3.8835971212168099E-2</c:v>
                </c:pt>
                <c:pt idx="12">
                  <c:v>2.5611618322529301E-2</c:v>
                </c:pt>
                <c:pt idx="13">
                  <c:v>1.8557901621892799E-2</c:v>
                </c:pt>
                <c:pt idx="14">
                  <c:v>3.8920027142838903E-2</c:v>
                </c:pt>
                <c:pt idx="15">
                  <c:v>2.3489581487704501E-2</c:v>
                </c:pt>
                <c:pt idx="16">
                  <c:v>1.9594560506088099E-2</c:v>
                </c:pt>
                <c:pt idx="17">
                  <c:v>3.144929659621E-2</c:v>
                </c:pt>
                <c:pt idx="18">
                  <c:v>3.7999481863490302E-2</c:v>
                </c:pt>
                <c:pt idx="19">
                  <c:v>1.09971310888765E-2</c:v>
                </c:pt>
                <c:pt idx="20">
                  <c:v>1.29796493368339E-2</c:v>
                </c:pt>
                <c:pt idx="21">
                  <c:v>3.7850814509411E-3</c:v>
                </c:pt>
                <c:pt idx="22">
                  <c:v>7.4677565381199599E-3</c:v>
                </c:pt>
                <c:pt idx="23">
                  <c:v>1.12957725899555E-2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0F-48E2-988D-151B9378F6FB}"/>
            </c:ext>
          </c:extLst>
        </c:ser>
        <c:ser>
          <c:idx val="6"/>
          <c:order val="6"/>
          <c:tx>
            <c:strRef>
              <c:f>'feature importance graph'!$J$1</c:f>
              <c:strCache>
                <c:ptCount val="1"/>
                <c:pt idx="0">
                  <c:v>0.025M Guanidine on CM Sepharose FF pH 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graph'!$J$2:$J$25</c:f>
              <c:numCache>
                <c:formatCode>General</c:formatCode>
                <c:ptCount val="24"/>
                <c:pt idx="0">
                  <c:v>9.9776167270242706E-3</c:v>
                </c:pt>
                <c:pt idx="1">
                  <c:v>3.0094897477548999E-2</c:v>
                </c:pt>
                <c:pt idx="2">
                  <c:v>2.9623537853167899E-2</c:v>
                </c:pt>
                <c:pt idx="3">
                  <c:v>1.4830701444402201E-2</c:v>
                </c:pt>
                <c:pt idx="4">
                  <c:v>2.23026840434827E-2</c:v>
                </c:pt>
                <c:pt idx="5">
                  <c:v>1.6436724538655999E-3</c:v>
                </c:pt>
                <c:pt idx="6">
                  <c:v>5.5621387716710598E-3</c:v>
                </c:pt>
                <c:pt idx="7">
                  <c:v>3.1418587497905499E-3</c:v>
                </c:pt>
                <c:pt idx="8">
                  <c:v>3.6368797647797803E-2</c:v>
                </c:pt>
                <c:pt idx="9">
                  <c:v>1.23857247860528E-2</c:v>
                </c:pt>
                <c:pt idx="10">
                  <c:v>2.45140992663017E-2</c:v>
                </c:pt>
                <c:pt idx="11">
                  <c:v>2.9890588929716501E-2</c:v>
                </c:pt>
                <c:pt idx="12">
                  <c:v>4.1684073909221096E-3</c:v>
                </c:pt>
                <c:pt idx="13">
                  <c:v>2.8945328173937499E-2</c:v>
                </c:pt>
                <c:pt idx="14">
                  <c:v>3.0347830112629901E-2</c:v>
                </c:pt>
                <c:pt idx="15">
                  <c:v>2.77355593744469E-3</c:v>
                </c:pt>
                <c:pt idx="16">
                  <c:v>2.9823682340491299E-3</c:v>
                </c:pt>
                <c:pt idx="17">
                  <c:v>2.07451444176446E-2</c:v>
                </c:pt>
                <c:pt idx="18">
                  <c:v>2.6874626075283101E-2</c:v>
                </c:pt>
                <c:pt idx="19">
                  <c:v>7.3640007994224396E-3</c:v>
                </c:pt>
                <c:pt idx="20">
                  <c:v>2.0274655258320999E-2</c:v>
                </c:pt>
                <c:pt idx="21">
                  <c:v>1.2077454205240101E-2</c:v>
                </c:pt>
                <c:pt idx="22">
                  <c:v>9.9481686089188505E-4</c:v>
                </c:pt>
                <c:pt idx="23">
                  <c:v>1.55878731248536E-2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E00F-48E2-988D-151B9378F6FB}"/>
            </c:ext>
          </c:extLst>
        </c:ser>
        <c:ser>
          <c:idx val="7"/>
          <c:order val="7"/>
          <c:tx>
            <c:strRef>
              <c:f>'feature importance graph'!$K$1</c:f>
              <c:strCache>
                <c:ptCount val="1"/>
                <c:pt idx="0">
                  <c:v>0.1M Guanidine on CM Sepharose pH 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graph'!$K$2:$K$25</c:f>
              <c:numCache>
                <c:formatCode>General</c:formatCode>
                <c:ptCount val="24"/>
                <c:pt idx="0">
                  <c:v>1.9564519122841201E-2</c:v>
                </c:pt>
                <c:pt idx="1">
                  <c:v>4.15824404449514E-2</c:v>
                </c:pt>
                <c:pt idx="2">
                  <c:v>2.8608014470375399E-2</c:v>
                </c:pt>
                <c:pt idx="3">
                  <c:v>2.0288141317988902E-2</c:v>
                </c:pt>
                <c:pt idx="4">
                  <c:v>1.1252563918945999E-2</c:v>
                </c:pt>
                <c:pt idx="5">
                  <c:v>4.6545803300201402E-4</c:v>
                </c:pt>
                <c:pt idx="6">
                  <c:v>3.1928254316729902E-3</c:v>
                </c:pt>
                <c:pt idx="7">
                  <c:v>3.7136264958577002E-3</c:v>
                </c:pt>
                <c:pt idx="8">
                  <c:v>3.8596742956675902E-2</c:v>
                </c:pt>
                <c:pt idx="9">
                  <c:v>1.76307185240916E-2</c:v>
                </c:pt>
                <c:pt idx="10">
                  <c:v>3.2241485882999799E-2</c:v>
                </c:pt>
                <c:pt idx="11">
                  <c:v>3.7357561472166997E-2</c:v>
                </c:pt>
                <c:pt idx="12">
                  <c:v>1.10217652936648E-2</c:v>
                </c:pt>
                <c:pt idx="13">
                  <c:v>3.04580652056037E-2</c:v>
                </c:pt>
                <c:pt idx="14">
                  <c:v>3.4366393184761E-2</c:v>
                </c:pt>
                <c:pt idx="15">
                  <c:v>9.03431596032701E-3</c:v>
                </c:pt>
                <c:pt idx="16">
                  <c:v>1.0688728586178401E-2</c:v>
                </c:pt>
                <c:pt idx="17">
                  <c:v>1.9661472266190999E-2</c:v>
                </c:pt>
                <c:pt idx="18">
                  <c:v>3.5210863727003897E-2</c:v>
                </c:pt>
                <c:pt idx="19">
                  <c:v>7.3473979442826801E-3</c:v>
                </c:pt>
                <c:pt idx="20">
                  <c:v>2.1284865939045099E-2</c:v>
                </c:pt>
                <c:pt idx="21">
                  <c:v>2.9738030965930202E-3</c:v>
                </c:pt>
                <c:pt idx="22">
                  <c:v>5.3896803449205095E-4</c:v>
                </c:pt>
                <c:pt idx="23">
                  <c:v>1.6701581706901499E-2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E00F-48E2-988D-151B9378F6FB}"/>
            </c:ext>
          </c:extLst>
        </c:ser>
        <c:ser>
          <c:idx val="8"/>
          <c:order val="8"/>
          <c:tx>
            <c:strRef>
              <c:f>'feature importance graph'!$L$1</c:f>
              <c:strCache>
                <c:ptCount val="1"/>
                <c:pt idx="0">
                  <c:v>0M Guanidine on CM Sepharose FF pH 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graph'!$L$2:$L$25</c:f>
              <c:numCache>
                <c:formatCode>General</c:formatCode>
                <c:ptCount val="24"/>
                <c:pt idx="0">
                  <c:v>1.7398096944456699E-2</c:v>
                </c:pt>
                <c:pt idx="1">
                  <c:v>3.3258136706169297E-2</c:v>
                </c:pt>
                <c:pt idx="2">
                  <c:v>2.45358828038535E-2</c:v>
                </c:pt>
                <c:pt idx="3">
                  <c:v>2.40690154947544E-2</c:v>
                </c:pt>
                <c:pt idx="4">
                  <c:v>1.6637290258351901E-2</c:v>
                </c:pt>
                <c:pt idx="5">
                  <c:v>3.9914258834610403E-3</c:v>
                </c:pt>
                <c:pt idx="6">
                  <c:v>1.5600848396551801E-2</c:v>
                </c:pt>
                <c:pt idx="7">
                  <c:v>1.9444364446382901E-3</c:v>
                </c:pt>
                <c:pt idx="8">
                  <c:v>2.7857640401466401E-2</c:v>
                </c:pt>
                <c:pt idx="9">
                  <c:v>2.1055143611125999E-2</c:v>
                </c:pt>
                <c:pt idx="10">
                  <c:v>3.25571435930904E-2</c:v>
                </c:pt>
                <c:pt idx="11">
                  <c:v>2.6760741189653301E-2</c:v>
                </c:pt>
                <c:pt idx="12">
                  <c:v>2.47631914778065E-3</c:v>
                </c:pt>
                <c:pt idx="13">
                  <c:v>2.8127120833532301E-2</c:v>
                </c:pt>
                <c:pt idx="14">
                  <c:v>2.7614076707994799E-2</c:v>
                </c:pt>
                <c:pt idx="15">
                  <c:v>1.34684329382518E-2</c:v>
                </c:pt>
                <c:pt idx="16">
                  <c:v>1.3306838158808801E-2</c:v>
                </c:pt>
                <c:pt idx="17">
                  <c:v>2.64048867720338E-2</c:v>
                </c:pt>
                <c:pt idx="18">
                  <c:v>2.4628787886643199E-2</c:v>
                </c:pt>
                <c:pt idx="19">
                  <c:v>1.6719735473815001E-2</c:v>
                </c:pt>
                <c:pt idx="20">
                  <c:v>1.7751830862114699E-2</c:v>
                </c:pt>
                <c:pt idx="21">
                  <c:v>6.6764083035722099E-3</c:v>
                </c:pt>
                <c:pt idx="22">
                  <c:v>3.33679755110261E-3</c:v>
                </c:pt>
                <c:pt idx="23">
                  <c:v>1.2944039429418699E-2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E00F-48E2-988D-151B9378F6FB}"/>
            </c:ext>
          </c:extLst>
        </c:ser>
        <c:ser>
          <c:idx val="9"/>
          <c:order val="9"/>
          <c:tx>
            <c:strRef>
              <c:f>'feature importance graph'!$M$1</c:f>
              <c:strCache>
                <c:ptCount val="1"/>
                <c:pt idx="0">
                  <c:v>0.025M Guanidine on Capto MMC pH 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graph'!$M$2:$M$25</c:f>
              <c:numCache>
                <c:formatCode>General</c:formatCode>
                <c:ptCount val="24"/>
                <c:pt idx="0">
                  <c:v>1.05520311795741E-2</c:v>
                </c:pt>
                <c:pt idx="1">
                  <c:v>1.2644117473578799E-2</c:v>
                </c:pt>
                <c:pt idx="2">
                  <c:v>3.7831615276901098E-2</c:v>
                </c:pt>
                <c:pt idx="3">
                  <c:v>3.3951141831884302E-2</c:v>
                </c:pt>
                <c:pt idx="4">
                  <c:v>2.27990942258913E-3</c:v>
                </c:pt>
                <c:pt idx="5">
                  <c:v>8.4413063696285196E-3</c:v>
                </c:pt>
                <c:pt idx="6">
                  <c:v>2.6405957067173701E-2</c:v>
                </c:pt>
                <c:pt idx="7">
                  <c:v>1.0228365868507399E-2</c:v>
                </c:pt>
                <c:pt idx="8">
                  <c:v>3.2851500225716902E-2</c:v>
                </c:pt>
                <c:pt idx="9">
                  <c:v>1.7676934188662501E-2</c:v>
                </c:pt>
                <c:pt idx="10">
                  <c:v>2.7029241880811999E-2</c:v>
                </c:pt>
                <c:pt idx="11">
                  <c:v>3.5213211627032101E-2</c:v>
                </c:pt>
                <c:pt idx="12">
                  <c:v>2.6991606480006699E-2</c:v>
                </c:pt>
                <c:pt idx="13">
                  <c:v>1.5988742821454099E-2</c:v>
                </c:pt>
                <c:pt idx="14">
                  <c:v>3.4446262136784603E-2</c:v>
                </c:pt>
                <c:pt idx="15">
                  <c:v>2.0430274725316701E-2</c:v>
                </c:pt>
                <c:pt idx="16">
                  <c:v>1.3326568941932E-2</c:v>
                </c:pt>
                <c:pt idx="17">
                  <c:v>2.9260608784261701E-2</c:v>
                </c:pt>
                <c:pt idx="18">
                  <c:v>3.4470377362546198E-2</c:v>
                </c:pt>
                <c:pt idx="19">
                  <c:v>5.8272618828661997E-3</c:v>
                </c:pt>
                <c:pt idx="20">
                  <c:v>1.1454268977217699E-2</c:v>
                </c:pt>
                <c:pt idx="21">
                  <c:v>3.0640365873998302E-3</c:v>
                </c:pt>
                <c:pt idx="22">
                  <c:v>5.2223305713087597E-3</c:v>
                </c:pt>
                <c:pt idx="23">
                  <c:v>1.13661954410396E-2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E00F-48E2-988D-151B9378F6FB}"/>
            </c:ext>
          </c:extLst>
        </c:ser>
        <c:ser>
          <c:idx val="10"/>
          <c:order val="10"/>
          <c:tx>
            <c:strRef>
              <c:f>'feature importance graph'!$N$1</c:f>
              <c:strCache>
                <c:ptCount val="1"/>
                <c:pt idx="0">
                  <c:v>0.1M Guanidine on Capto MMC pH 6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graph'!$N$2:$N$25</c:f>
              <c:numCache>
                <c:formatCode>General</c:formatCode>
                <c:ptCount val="24"/>
                <c:pt idx="0">
                  <c:v>2.4435979162987301E-2</c:v>
                </c:pt>
                <c:pt idx="1">
                  <c:v>9.5488080153631699E-4</c:v>
                </c:pt>
                <c:pt idx="2">
                  <c:v>4.2921113893017497E-2</c:v>
                </c:pt>
                <c:pt idx="3">
                  <c:v>3.3426731594912898E-2</c:v>
                </c:pt>
                <c:pt idx="4">
                  <c:v>9.6330886000102998E-3</c:v>
                </c:pt>
                <c:pt idx="5">
                  <c:v>5.7701102059081197E-3</c:v>
                </c:pt>
                <c:pt idx="6">
                  <c:v>3.4161160821830003E-2</c:v>
                </c:pt>
                <c:pt idx="7">
                  <c:v>1.1521131712678901E-2</c:v>
                </c:pt>
                <c:pt idx="8">
                  <c:v>2.93647276687398E-2</c:v>
                </c:pt>
                <c:pt idx="9">
                  <c:v>9.5633805357489207E-3</c:v>
                </c:pt>
                <c:pt idx="10">
                  <c:v>2.6217076880474099E-2</c:v>
                </c:pt>
                <c:pt idx="11">
                  <c:v>2.2786382719126901E-2</c:v>
                </c:pt>
                <c:pt idx="12">
                  <c:v>2.5086003973492699E-2</c:v>
                </c:pt>
                <c:pt idx="13">
                  <c:v>9.8539562313334095E-3</c:v>
                </c:pt>
                <c:pt idx="14">
                  <c:v>2.7184663037153101E-2</c:v>
                </c:pt>
                <c:pt idx="15">
                  <c:v>1.7748490973558299E-2</c:v>
                </c:pt>
                <c:pt idx="16">
                  <c:v>5.9633308772710199E-3</c:v>
                </c:pt>
                <c:pt idx="17">
                  <c:v>2.52106221619312E-2</c:v>
                </c:pt>
                <c:pt idx="18">
                  <c:v>2.1718408561387601E-2</c:v>
                </c:pt>
                <c:pt idx="19">
                  <c:v>2.3550415593312801E-3</c:v>
                </c:pt>
                <c:pt idx="20">
                  <c:v>9.0507046671715503E-3</c:v>
                </c:pt>
                <c:pt idx="21">
                  <c:v>3.88365575004304E-3</c:v>
                </c:pt>
                <c:pt idx="22">
                  <c:v>1.2379581637766901E-2</c:v>
                </c:pt>
                <c:pt idx="23">
                  <c:v>3.7372190601045702E-3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E00F-48E2-988D-151B9378F6FB}"/>
            </c:ext>
          </c:extLst>
        </c:ser>
        <c:ser>
          <c:idx val="11"/>
          <c:order val="11"/>
          <c:tx>
            <c:strRef>
              <c:f>'feature importance graph'!$O$1</c:f>
              <c:strCache>
                <c:ptCount val="1"/>
                <c:pt idx="0">
                  <c:v>0M Guanidine on Capto MMC pH 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graph'!$O$2:$O$25</c:f>
              <c:numCache>
                <c:formatCode>General</c:formatCode>
                <c:ptCount val="24"/>
                <c:pt idx="0">
                  <c:v>4.3248653580665796E-3</c:v>
                </c:pt>
                <c:pt idx="1">
                  <c:v>1.71431979966273E-2</c:v>
                </c:pt>
                <c:pt idx="2">
                  <c:v>3.90556593061369E-2</c:v>
                </c:pt>
                <c:pt idx="3">
                  <c:v>3.8997137228263902E-2</c:v>
                </c:pt>
                <c:pt idx="4">
                  <c:v>4.95168316099567E-3</c:v>
                </c:pt>
                <c:pt idx="5">
                  <c:v>1.1186630277329799E-2</c:v>
                </c:pt>
                <c:pt idx="6">
                  <c:v>1.9844333500334599E-2</c:v>
                </c:pt>
                <c:pt idx="7">
                  <c:v>1.0184044381452101E-2</c:v>
                </c:pt>
                <c:pt idx="8">
                  <c:v>3.5318859384832098E-2</c:v>
                </c:pt>
                <c:pt idx="9">
                  <c:v>2.3035342568157102E-2</c:v>
                </c:pt>
                <c:pt idx="10">
                  <c:v>3.0694195743979101E-2</c:v>
                </c:pt>
                <c:pt idx="11">
                  <c:v>3.8648050430002898E-2</c:v>
                </c:pt>
                <c:pt idx="12">
                  <c:v>2.54455651601159E-2</c:v>
                </c:pt>
                <c:pt idx="13">
                  <c:v>1.8872713570788398E-2</c:v>
                </c:pt>
                <c:pt idx="14">
                  <c:v>3.8805990275059897E-2</c:v>
                </c:pt>
                <c:pt idx="15">
                  <c:v>2.3660156637428501E-2</c:v>
                </c:pt>
                <c:pt idx="16">
                  <c:v>1.9729225498865102E-2</c:v>
                </c:pt>
                <c:pt idx="17">
                  <c:v>3.15859969350714E-2</c:v>
                </c:pt>
                <c:pt idx="18">
                  <c:v>3.7788677445796198E-2</c:v>
                </c:pt>
                <c:pt idx="19">
                  <c:v>1.1295276866920501E-2</c:v>
                </c:pt>
                <c:pt idx="20">
                  <c:v>1.30695910592117E-2</c:v>
                </c:pt>
                <c:pt idx="21">
                  <c:v>3.9365588108304199E-3</c:v>
                </c:pt>
                <c:pt idx="22">
                  <c:v>7.5235866478138803E-3</c:v>
                </c:pt>
                <c:pt idx="23">
                  <c:v>1.12263984228738E-2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E00F-48E2-988D-151B9378F6FB}"/>
            </c:ext>
          </c:extLst>
        </c:ser>
        <c:ser>
          <c:idx val="12"/>
          <c:order val="12"/>
          <c:tx>
            <c:strRef>
              <c:f>'feature importance graph'!$P$1</c:f>
              <c:strCache>
                <c:ptCount val="1"/>
                <c:pt idx="0">
                  <c:v>CM Sepharose FF pH 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graph'!$P$2:$P$25</c:f>
              <c:numCache>
                <c:formatCode>General</c:formatCode>
                <c:ptCount val="24"/>
                <c:pt idx="0">
                  <c:v>5.2579342053137197E-3</c:v>
                </c:pt>
                <c:pt idx="1">
                  <c:v>1.59708959888719E-2</c:v>
                </c:pt>
                <c:pt idx="2">
                  <c:v>2.3101594122973901E-2</c:v>
                </c:pt>
                <c:pt idx="3">
                  <c:v>2.3545894037254201E-2</c:v>
                </c:pt>
                <c:pt idx="4">
                  <c:v>1.24151280479131E-2</c:v>
                </c:pt>
                <c:pt idx="5">
                  <c:v>8.9022213810909107E-3</c:v>
                </c:pt>
                <c:pt idx="6">
                  <c:v>4.8067787177839599E-4</c:v>
                </c:pt>
                <c:pt idx="7">
                  <c:v>2.0759322359554199E-2</c:v>
                </c:pt>
                <c:pt idx="8">
                  <c:v>3.4234587300125303E-2</c:v>
                </c:pt>
                <c:pt idx="9">
                  <c:v>2.0559459061686401E-2</c:v>
                </c:pt>
                <c:pt idx="10">
                  <c:v>1.8480171870224198E-2</c:v>
                </c:pt>
                <c:pt idx="11">
                  <c:v>3.7668794874319997E-2</c:v>
                </c:pt>
                <c:pt idx="12">
                  <c:v>1.13286189928541E-2</c:v>
                </c:pt>
                <c:pt idx="13">
                  <c:v>1.61216278669827E-2</c:v>
                </c:pt>
                <c:pt idx="14">
                  <c:v>2.9668307014408701E-2</c:v>
                </c:pt>
                <c:pt idx="15">
                  <c:v>9.7667231444184908E-3</c:v>
                </c:pt>
                <c:pt idx="16">
                  <c:v>1.62558141959613E-2</c:v>
                </c:pt>
                <c:pt idx="17">
                  <c:v>1.9637420321642202E-2</c:v>
                </c:pt>
                <c:pt idx="18">
                  <c:v>3.4463682155870701E-2</c:v>
                </c:pt>
                <c:pt idx="19">
                  <c:v>2.6493379592823999E-2</c:v>
                </c:pt>
                <c:pt idx="20">
                  <c:v>1.62974703958624E-2</c:v>
                </c:pt>
                <c:pt idx="21">
                  <c:v>1.47653072785813E-2</c:v>
                </c:pt>
                <c:pt idx="22">
                  <c:v>1.20041849001763E-3</c:v>
                </c:pt>
                <c:pt idx="23">
                  <c:v>9.5935878803790897E-3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E00F-48E2-988D-151B9378F6FB}"/>
            </c:ext>
          </c:extLst>
        </c:ser>
        <c:ser>
          <c:idx val="13"/>
          <c:order val="13"/>
          <c:tx>
            <c:strRef>
              <c:f>'feature importance graph'!$Q$1</c:f>
              <c:strCache>
                <c:ptCount val="1"/>
                <c:pt idx="0">
                  <c:v>Capto MMC pH 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graph'!$Q$2:$Q$25</c:f>
              <c:numCache>
                <c:formatCode>General</c:formatCode>
                <c:ptCount val="24"/>
                <c:pt idx="0">
                  <c:v>1.6414793555975998E-2</c:v>
                </c:pt>
                <c:pt idx="1">
                  <c:v>1.9342047453144801E-2</c:v>
                </c:pt>
                <c:pt idx="2">
                  <c:v>4.2323739859857601E-2</c:v>
                </c:pt>
                <c:pt idx="3">
                  <c:v>3.5368273107891902E-2</c:v>
                </c:pt>
                <c:pt idx="4">
                  <c:v>3.0545530751935001E-3</c:v>
                </c:pt>
                <c:pt idx="5">
                  <c:v>2.5793688356332199E-2</c:v>
                </c:pt>
                <c:pt idx="6">
                  <c:v>2.9779723057187801E-2</c:v>
                </c:pt>
                <c:pt idx="7">
                  <c:v>1.86522564814205E-2</c:v>
                </c:pt>
                <c:pt idx="8">
                  <c:v>2.8209498701580599E-2</c:v>
                </c:pt>
                <c:pt idx="9">
                  <c:v>2.5581359362377099E-2</c:v>
                </c:pt>
                <c:pt idx="10">
                  <c:v>1.03098550102766E-3</c:v>
                </c:pt>
                <c:pt idx="11">
                  <c:v>3.9260135991786002E-2</c:v>
                </c:pt>
                <c:pt idx="12">
                  <c:v>7.6746287355094001E-3</c:v>
                </c:pt>
                <c:pt idx="13">
                  <c:v>4.53453889353985E-3</c:v>
                </c:pt>
                <c:pt idx="14">
                  <c:v>4.2203013096047001E-2</c:v>
                </c:pt>
                <c:pt idx="15">
                  <c:v>1.3667453187162001E-2</c:v>
                </c:pt>
                <c:pt idx="16">
                  <c:v>7.8593813198630097E-3</c:v>
                </c:pt>
                <c:pt idx="17">
                  <c:v>2.3896215637267199E-2</c:v>
                </c:pt>
                <c:pt idx="18">
                  <c:v>3.4869992777752497E-2</c:v>
                </c:pt>
                <c:pt idx="19">
                  <c:v>4.6554745142667704E-3</c:v>
                </c:pt>
                <c:pt idx="20">
                  <c:v>5.1092185577114504E-3</c:v>
                </c:pt>
                <c:pt idx="21">
                  <c:v>2.3304483162906699E-2</c:v>
                </c:pt>
                <c:pt idx="22">
                  <c:v>2.4907352978106902E-2</c:v>
                </c:pt>
                <c:pt idx="23">
                  <c:v>2.4901169859597601E-3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E00F-48E2-988D-151B9378F6FB}"/>
            </c:ext>
          </c:extLst>
        </c:ser>
        <c:ser>
          <c:idx val="14"/>
          <c:order val="14"/>
          <c:tx>
            <c:strRef>
              <c:f>'feature importance graph'!$R$1</c:f>
              <c:strCache>
                <c:ptCount val="1"/>
                <c:pt idx="0">
                  <c:v>SP Sepharose FF pH 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graph'!$R$2:$R$25</c:f>
              <c:numCache>
                <c:formatCode>General</c:formatCode>
                <c:ptCount val="24"/>
                <c:pt idx="0">
                  <c:v>6.8256067354214899E-3</c:v>
                </c:pt>
                <c:pt idx="1">
                  <c:v>1.18738908520125E-2</c:v>
                </c:pt>
                <c:pt idx="2">
                  <c:v>2.27243720651473E-2</c:v>
                </c:pt>
                <c:pt idx="3">
                  <c:v>3.0751398458005098E-2</c:v>
                </c:pt>
                <c:pt idx="4">
                  <c:v>5.4527814097753502E-3</c:v>
                </c:pt>
                <c:pt idx="5">
                  <c:v>1.6098941211861E-2</c:v>
                </c:pt>
                <c:pt idx="6" formatCode="0.00E+00">
                  <c:v>2.33319454458079E-5</c:v>
                </c:pt>
                <c:pt idx="7">
                  <c:v>2.5737804893162901E-2</c:v>
                </c:pt>
                <c:pt idx="8">
                  <c:v>2.82425168642811E-2</c:v>
                </c:pt>
                <c:pt idx="9">
                  <c:v>2.6108470837921501E-2</c:v>
                </c:pt>
                <c:pt idx="10">
                  <c:v>1.67849831565791E-2</c:v>
                </c:pt>
                <c:pt idx="11">
                  <c:v>3.8098185534826502E-2</c:v>
                </c:pt>
                <c:pt idx="12">
                  <c:v>9.9811144655442604E-3</c:v>
                </c:pt>
                <c:pt idx="13">
                  <c:v>1.3049465712349001E-2</c:v>
                </c:pt>
                <c:pt idx="14">
                  <c:v>2.69812798284212E-2</c:v>
                </c:pt>
                <c:pt idx="15">
                  <c:v>1.7162162560444599E-2</c:v>
                </c:pt>
                <c:pt idx="16">
                  <c:v>2.0782080876517599E-2</c:v>
                </c:pt>
                <c:pt idx="17">
                  <c:v>1.78260818025937E-2</c:v>
                </c:pt>
                <c:pt idx="18">
                  <c:v>3.4755106517552099E-2</c:v>
                </c:pt>
                <c:pt idx="19">
                  <c:v>3.2362186435838602E-2</c:v>
                </c:pt>
                <c:pt idx="20">
                  <c:v>1.2805663361175499E-2</c:v>
                </c:pt>
                <c:pt idx="21">
                  <c:v>1.5085155869632799E-2</c:v>
                </c:pt>
                <c:pt idx="22">
                  <c:v>1.8340857082436699E-3</c:v>
                </c:pt>
                <c:pt idx="23">
                  <c:v>4.6353713507537603E-3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E00F-48E2-988D-151B9378F6FB}"/>
            </c:ext>
          </c:extLst>
        </c:ser>
        <c:ser>
          <c:idx val="15"/>
          <c:order val="15"/>
          <c:tx>
            <c:strRef>
              <c:f>'feature importance graph'!$S$1</c:f>
              <c:strCache>
                <c:ptCount val="1"/>
                <c:pt idx="0">
                  <c:v>CM Sepharose FF pH 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graph'!$S$2:$S$25</c:f>
              <c:numCache>
                <c:formatCode>General</c:formatCode>
                <c:ptCount val="24"/>
                <c:pt idx="0">
                  <c:v>1.9499849185396299E-2</c:v>
                </c:pt>
                <c:pt idx="1">
                  <c:v>3.3831148996664902E-2</c:v>
                </c:pt>
                <c:pt idx="2">
                  <c:v>2.6878280285752801E-2</c:v>
                </c:pt>
                <c:pt idx="3">
                  <c:v>2.4487851772184099E-2</c:v>
                </c:pt>
                <c:pt idx="4">
                  <c:v>1.8453970077431301E-2</c:v>
                </c:pt>
                <c:pt idx="5">
                  <c:v>4.2258584229682801E-3</c:v>
                </c:pt>
                <c:pt idx="6">
                  <c:v>1.72366449707167E-2</c:v>
                </c:pt>
                <c:pt idx="7">
                  <c:v>5.2497630569826902E-4</c:v>
                </c:pt>
                <c:pt idx="8">
                  <c:v>2.8391829075529101E-2</c:v>
                </c:pt>
                <c:pt idx="9">
                  <c:v>2.0555512824679899E-2</c:v>
                </c:pt>
                <c:pt idx="10">
                  <c:v>3.2237989793721097E-2</c:v>
                </c:pt>
                <c:pt idx="11">
                  <c:v>2.72991545782756E-2</c:v>
                </c:pt>
                <c:pt idx="12">
                  <c:v>1.8532842428502E-3</c:v>
                </c:pt>
                <c:pt idx="13">
                  <c:v>2.90863477012402E-2</c:v>
                </c:pt>
                <c:pt idx="14">
                  <c:v>2.93152483874549E-2</c:v>
                </c:pt>
                <c:pt idx="15">
                  <c:v>1.26015649634908E-2</c:v>
                </c:pt>
                <c:pt idx="16">
                  <c:v>1.29781516870437E-2</c:v>
                </c:pt>
                <c:pt idx="17">
                  <c:v>2.4837481914029801E-2</c:v>
                </c:pt>
                <c:pt idx="18">
                  <c:v>2.49569424664004E-2</c:v>
                </c:pt>
                <c:pt idx="19">
                  <c:v>1.50950657830761E-2</c:v>
                </c:pt>
                <c:pt idx="20">
                  <c:v>1.8010330685632299E-2</c:v>
                </c:pt>
                <c:pt idx="21">
                  <c:v>7.3978258513377002E-3</c:v>
                </c:pt>
                <c:pt idx="22">
                  <c:v>1.5689017066823801E-3</c:v>
                </c:pt>
                <c:pt idx="23">
                  <c:v>1.24845155700974E-2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E00F-48E2-988D-151B9378F6FB}"/>
            </c:ext>
          </c:extLst>
        </c:ser>
        <c:ser>
          <c:idx val="16"/>
          <c:order val="16"/>
          <c:tx>
            <c:strRef>
              <c:f>'feature importance graph'!$T$1</c:f>
              <c:strCache>
                <c:ptCount val="1"/>
                <c:pt idx="0">
                  <c:v>Capto MMC pH 6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graph'!$T$2:$T$25</c:f>
              <c:numCache>
                <c:formatCode>General</c:formatCode>
                <c:ptCount val="24"/>
                <c:pt idx="0">
                  <c:v>4.20533999925915E-3</c:v>
                </c:pt>
                <c:pt idx="1">
                  <c:v>1.2455381795790799E-2</c:v>
                </c:pt>
                <c:pt idx="2">
                  <c:v>4.47459206207034E-2</c:v>
                </c:pt>
                <c:pt idx="3">
                  <c:v>3.6300945365132099E-2</c:v>
                </c:pt>
                <c:pt idx="4">
                  <c:v>5.2056563484277401E-3</c:v>
                </c:pt>
                <c:pt idx="5">
                  <c:v>1.8449057317323801E-2</c:v>
                </c:pt>
                <c:pt idx="6">
                  <c:v>1.42363692908335E-2</c:v>
                </c:pt>
                <c:pt idx="7">
                  <c:v>1.0118123797006001E-2</c:v>
                </c:pt>
                <c:pt idx="8">
                  <c:v>4.19890723339136E-2</c:v>
                </c:pt>
                <c:pt idx="9">
                  <c:v>2.5626558364617399E-2</c:v>
                </c:pt>
                <c:pt idx="10">
                  <c:v>2.0263936896158099E-2</c:v>
                </c:pt>
                <c:pt idx="11">
                  <c:v>4.5093243168079097E-2</c:v>
                </c:pt>
                <c:pt idx="12">
                  <c:v>1.9840639248587501E-2</c:v>
                </c:pt>
                <c:pt idx="13">
                  <c:v>1.9930289927272499E-2</c:v>
                </c:pt>
                <c:pt idx="14">
                  <c:v>4.5119042193624399E-2</c:v>
                </c:pt>
                <c:pt idx="15">
                  <c:v>1.76692776974136E-2</c:v>
                </c:pt>
                <c:pt idx="16">
                  <c:v>1.2860075840455299E-2</c:v>
                </c:pt>
                <c:pt idx="17">
                  <c:v>3.3060045289781001E-2</c:v>
                </c:pt>
                <c:pt idx="18">
                  <c:v>4.0658491413882697E-2</c:v>
                </c:pt>
                <c:pt idx="19">
                  <c:v>7.7119409865381901E-3</c:v>
                </c:pt>
                <c:pt idx="20">
                  <c:v>9.9555915782343195E-3</c:v>
                </c:pt>
                <c:pt idx="21">
                  <c:v>2.1189543429456802E-2</c:v>
                </c:pt>
                <c:pt idx="22">
                  <c:v>6.7247541437470398E-3</c:v>
                </c:pt>
                <c:pt idx="23">
                  <c:v>5.8084828512394602E-3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E00F-48E2-988D-151B9378F6FB}"/>
            </c:ext>
          </c:extLst>
        </c:ser>
        <c:ser>
          <c:idx val="17"/>
          <c:order val="17"/>
          <c:tx>
            <c:strRef>
              <c:f>'feature importance graph'!$U$1</c:f>
              <c:strCache>
                <c:ptCount val="1"/>
                <c:pt idx="0">
                  <c:v>SP Sepharose FF pH 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graph'!$U$2:$U$25</c:f>
              <c:numCache>
                <c:formatCode>General</c:formatCode>
                <c:ptCount val="24"/>
                <c:pt idx="0">
                  <c:v>1.6596771494708298E-2</c:v>
                </c:pt>
                <c:pt idx="1">
                  <c:v>3.8548920498814698E-2</c:v>
                </c:pt>
                <c:pt idx="2">
                  <c:v>2.24272949070221E-2</c:v>
                </c:pt>
                <c:pt idx="3">
                  <c:v>2.3770596062132901E-2</c:v>
                </c:pt>
                <c:pt idx="4">
                  <c:v>1.6792482482813498E-2</c:v>
                </c:pt>
                <c:pt idx="5">
                  <c:v>8.1816718784372502E-4</c:v>
                </c:pt>
                <c:pt idx="6">
                  <c:v>1.36827531862239E-2</c:v>
                </c:pt>
                <c:pt idx="7">
                  <c:v>4.8553122281537898E-3</c:v>
                </c:pt>
                <c:pt idx="8">
                  <c:v>2.8839694327858802E-2</c:v>
                </c:pt>
                <c:pt idx="9">
                  <c:v>1.99722911243445E-2</c:v>
                </c:pt>
                <c:pt idx="10">
                  <c:v>3.6843782889921697E-2</c:v>
                </c:pt>
                <c:pt idx="11">
                  <c:v>2.4950086911814901E-2</c:v>
                </c:pt>
                <c:pt idx="12">
                  <c:v>3.4051195845435801E-3</c:v>
                </c:pt>
                <c:pt idx="13">
                  <c:v>3.1435601997345901E-2</c:v>
                </c:pt>
                <c:pt idx="14">
                  <c:v>2.3448939454766001E-2</c:v>
                </c:pt>
                <c:pt idx="15">
                  <c:v>1.51449386319832E-2</c:v>
                </c:pt>
                <c:pt idx="16">
                  <c:v>1.32358036405317E-2</c:v>
                </c:pt>
                <c:pt idx="17">
                  <c:v>2.6491219656741401E-2</c:v>
                </c:pt>
                <c:pt idx="18">
                  <c:v>2.30590665657554E-2</c:v>
                </c:pt>
                <c:pt idx="19">
                  <c:v>1.77679588728131E-2</c:v>
                </c:pt>
                <c:pt idx="20">
                  <c:v>1.8788929927038199E-2</c:v>
                </c:pt>
                <c:pt idx="21">
                  <c:v>4.3642058290161304E-3</c:v>
                </c:pt>
                <c:pt idx="22">
                  <c:v>5.46726506812648E-3</c:v>
                </c:pt>
                <c:pt idx="23">
                  <c:v>1.36511436425051E-2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E00F-48E2-988D-151B9378F6FB}"/>
            </c:ext>
          </c:extLst>
        </c:ser>
        <c:ser>
          <c:idx val="18"/>
          <c:order val="18"/>
          <c:tx>
            <c:strRef>
              <c:f>'feature importance graph'!$V$1</c:f>
              <c:strCache>
                <c:ptCount val="1"/>
                <c:pt idx="0">
                  <c:v>20% Ethylene Glycol on Capto MMC pH 6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graph'!$V$2:$V$25</c:f>
              <c:numCache>
                <c:formatCode>General</c:formatCode>
                <c:ptCount val="24"/>
                <c:pt idx="0">
                  <c:v>6.6967602108103999E-3</c:v>
                </c:pt>
                <c:pt idx="1">
                  <c:v>1.2581754839042499E-2</c:v>
                </c:pt>
                <c:pt idx="2">
                  <c:v>4.3873588630800001E-2</c:v>
                </c:pt>
                <c:pt idx="3">
                  <c:v>3.7692769794963499E-2</c:v>
                </c:pt>
                <c:pt idx="4">
                  <c:v>8.0441373011346795E-3</c:v>
                </c:pt>
                <c:pt idx="5">
                  <c:v>1.4476725343612599E-2</c:v>
                </c:pt>
                <c:pt idx="6">
                  <c:v>1.8763055506310099E-2</c:v>
                </c:pt>
                <c:pt idx="7">
                  <c:v>1.04911409369455E-2</c:v>
                </c:pt>
                <c:pt idx="8">
                  <c:v>4.0289361369287298E-2</c:v>
                </c:pt>
                <c:pt idx="9">
                  <c:v>2.4419615869663999E-2</c:v>
                </c:pt>
                <c:pt idx="10">
                  <c:v>2.81133513255209E-2</c:v>
                </c:pt>
                <c:pt idx="11">
                  <c:v>4.2558735083265103E-2</c:v>
                </c:pt>
                <c:pt idx="12">
                  <c:v>2.1181267177779399E-2</c:v>
                </c:pt>
                <c:pt idx="13">
                  <c:v>1.6951810815319501E-2</c:v>
                </c:pt>
                <c:pt idx="14">
                  <c:v>4.4812873556664398E-2</c:v>
                </c:pt>
                <c:pt idx="15">
                  <c:v>1.92663615344255E-2</c:v>
                </c:pt>
                <c:pt idx="16">
                  <c:v>1.64770755125172E-2</c:v>
                </c:pt>
                <c:pt idx="17">
                  <c:v>3.5020574168861403E-2</c:v>
                </c:pt>
                <c:pt idx="18">
                  <c:v>4.0625944273960303E-2</c:v>
                </c:pt>
                <c:pt idx="19">
                  <c:v>8.9286059120793401E-3</c:v>
                </c:pt>
                <c:pt idx="20">
                  <c:v>1.3327299391879901E-2</c:v>
                </c:pt>
                <c:pt idx="21">
                  <c:v>9.5465153336833E-3</c:v>
                </c:pt>
                <c:pt idx="22">
                  <c:v>9.3443587736514108E-3</c:v>
                </c:pt>
                <c:pt idx="23">
                  <c:v>1.0424574225814401E-2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E00F-48E2-988D-151B9378F6FB}"/>
            </c:ext>
          </c:extLst>
        </c:ser>
        <c:ser>
          <c:idx val="19"/>
          <c:order val="19"/>
          <c:tx>
            <c:strRef>
              <c:f>'feature importance graph'!$W$1</c:f>
              <c:strCache>
                <c:ptCount val="1"/>
                <c:pt idx="0">
                  <c:v>20% Propylene Glycol on Capto MMC pH 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graph'!$W$2:$W$25</c:f>
              <c:numCache>
                <c:formatCode>General</c:formatCode>
                <c:ptCount val="24"/>
                <c:pt idx="0">
                  <c:v>8.2726815844030195E-3</c:v>
                </c:pt>
                <c:pt idx="1">
                  <c:v>1.1933735098501E-2</c:v>
                </c:pt>
                <c:pt idx="2">
                  <c:v>4.4188974726473297E-2</c:v>
                </c:pt>
                <c:pt idx="3">
                  <c:v>4.1226798461872799E-2</c:v>
                </c:pt>
                <c:pt idx="4">
                  <c:v>1.02864664782933E-2</c:v>
                </c:pt>
                <c:pt idx="5">
                  <c:v>1.31538601427447E-2</c:v>
                </c:pt>
                <c:pt idx="6">
                  <c:v>1.9010004349231401E-2</c:v>
                </c:pt>
                <c:pt idx="7">
                  <c:v>1.0923281420001299E-2</c:v>
                </c:pt>
                <c:pt idx="8">
                  <c:v>3.7260856181219403E-2</c:v>
                </c:pt>
                <c:pt idx="9">
                  <c:v>2.34559822393232E-2</c:v>
                </c:pt>
                <c:pt idx="10">
                  <c:v>3.2339167676820497E-2</c:v>
                </c:pt>
                <c:pt idx="11">
                  <c:v>3.7695228457156602E-2</c:v>
                </c:pt>
                <c:pt idx="12">
                  <c:v>2.26449538494983E-2</c:v>
                </c:pt>
                <c:pt idx="13">
                  <c:v>1.7076845380130701E-2</c:v>
                </c:pt>
                <c:pt idx="14">
                  <c:v>4.1183007630852003E-2</c:v>
                </c:pt>
                <c:pt idx="15">
                  <c:v>2.2603837525421899E-2</c:v>
                </c:pt>
                <c:pt idx="16">
                  <c:v>1.8790370457283899E-2</c:v>
                </c:pt>
                <c:pt idx="17">
                  <c:v>3.4306499720798203E-2</c:v>
                </c:pt>
                <c:pt idx="18">
                  <c:v>3.6221867415163499E-2</c:v>
                </c:pt>
                <c:pt idx="19">
                  <c:v>1.04294925634748E-2</c:v>
                </c:pt>
                <c:pt idx="20">
                  <c:v>1.3334763613697001E-2</c:v>
                </c:pt>
                <c:pt idx="21">
                  <c:v>6.8624832358209799E-3</c:v>
                </c:pt>
                <c:pt idx="22">
                  <c:v>1.1120045638966699E-2</c:v>
                </c:pt>
                <c:pt idx="23">
                  <c:v>8.5152049507715207E-3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3-E00F-48E2-988D-151B9378F6FB}"/>
            </c:ext>
          </c:extLst>
        </c:ser>
        <c:ser>
          <c:idx val="20"/>
          <c:order val="20"/>
          <c:tx>
            <c:strRef>
              <c:f>'feature importance graph'!$X$1</c:f>
              <c:strCache>
                <c:ptCount val="1"/>
                <c:pt idx="0">
                  <c:v>No Modifier (poly-ols)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graph'!$X$2:$X$25</c:f>
              <c:numCache>
                <c:formatCode>General</c:formatCode>
                <c:ptCount val="24"/>
                <c:pt idx="0">
                  <c:v>5.0010388838881504E-3</c:v>
                </c:pt>
                <c:pt idx="1">
                  <c:v>1.63011554913133E-2</c:v>
                </c:pt>
                <c:pt idx="2">
                  <c:v>3.9234759606584603E-2</c:v>
                </c:pt>
                <c:pt idx="3">
                  <c:v>3.8611992930688302E-2</c:v>
                </c:pt>
                <c:pt idx="4">
                  <c:v>4.9198361673735902E-3</c:v>
                </c:pt>
                <c:pt idx="5">
                  <c:v>1.1566461515645899E-2</c:v>
                </c:pt>
                <c:pt idx="6">
                  <c:v>2.0335792240853301E-2</c:v>
                </c:pt>
                <c:pt idx="7">
                  <c:v>1.0452640651393201E-2</c:v>
                </c:pt>
                <c:pt idx="8">
                  <c:v>3.6060216952016798E-2</c:v>
                </c:pt>
                <c:pt idx="9">
                  <c:v>2.3276232296408898E-2</c:v>
                </c:pt>
                <c:pt idx="10">
                  <c:v>2.9873576514467801E-2</c:v>
                </c:pt>
                <c:pt idx="11">
                  <c:v>3.90947589877177E-2</c:v>
                </c:pt>
                <c:pt idx="12">
                  <c:v>2.50007713196909E-2</c:v>
                </c:pt>
                <c:pt idx="13">
                  <c:v>1.8300183037517102E-2</c:v>
                </c:pt>
                <c:pt idx="14">
                  <c:v>3.9331254476497698E-2</c:v>
                </c:pt>
                <c:pt idx="15">
                  <c:v>2.3114160995400399E-2</c:v>
                </c:pt>
                <c:pt idx="16">
                  <c:v>1.9252219305731701E-2</c:v>
                </c:pt>
                <c:pt idx="17">
                  <c:v>3.1815861314148403E-2</c:v>
                </c:pt>
                <c:pt idx="18">
                  <c:v>3.8120285408505497E-2</c:v>
                </c:pt>
                <c:pt idx="19">
                  <c:v>1.10033790507065E-2</c:v>
                </c:pt>
                <c:pt idx="20">
                  <c:v>1.3014956636778799E-2</c:v>
                </c:pt>
                <c:pt idx="21">
                  <c:v>4.7061720904869398E-3</c:v>
                </c:pt>
                <c:pt idx="22">
                  <c:v>7.8533344436530796E-3</c:v>
                </c:pt>
                <c:pt idx="23">
                  <c:v>1.0999938164391701E-2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4-E00F-48E2-988D-151B9378F6FB}"/>
            </c:ext>
          </c:extLst>
        </c:ser>
        <c:ser>
          <c:idx val="21"/>
          <c:order val="21"/>
          <c:tx>
            <c:strRef>
              <c:f>'feature importance graph'!$Y$1</c:f>
              <c:strCache>
                <c:ptCount val="1"/>
                <c:pt idx="0">
                  <c:v>0.01 Sodium Caprylate on CM Sepharose FF pH 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graph'!$Y$2:$Y$25</c:f>
              <c:numCache>
                <c:formatCode>General</c:formatCode>
                <c:ptCount val="24"/>
                <c:pt idx="0">
                  <c:v>1.9556582961664799E-2</c:v>
                </c:pt>
                <c:pt idx="1">
                  <c:v>3.2627931287401102E-2</c:v>
                </c:pt>
                <c:pt idx="2">
                  <c:v>1.78794677857529E-2</c:v>
                </c:pt>
                <c:pt idx="3">
                  <c:v>1.02563315768906E-2</c:v>
                </c:pt>
                <c:pt idx="4">
                  <c:v>1.42727980443979E-2</c:v>
                </c:pt>
                <c:pt idx="5">
                  <c:v>2.0952315930891198E-3</c:v>
                </c:pt>
                <c:pt idx="6">
                  <c:v>1.21480662655001E-2</c:v>
                </c:pt>
                <c:pt idx="7">
                  <c:v>2.1122826034034401E-3</c:v>
                </c:pt>
                <c:pt idx="8">
                  <c:v>2.5550936739686898E-2</c:v>
                </c:pt>
                <c:pt idx="9">
                  <c:v>1.24430440526326E-2</c:v>
                </c:pt>
                <c:pt idx="10">
                  <c:v>1.5894825295763301E-2</c:v>
                </c:pt>
                <c:pt idx="11">
                  <c:v>3.0205305196016101E-2</c:v>
                </c:pt>
                <c:pt idx="12">
                  <c:v>6.5056249505218103E-3</c:v>
                </c:pt>
                <c:pt idx="13">
                  <c:v>2.8821205260415001E-2</c:v>
                </c:pt>
                <c:pt idx="14">
                  <c:v>2.71065835841784E-2</c:v>
                </c:pt>
                <c:pt idx="15">
                  <c:v>3.5508103530935398E-3</c:v>
                </c:pt>
                <c:pt idx="16">
                  <c:v>7.5170635043399197E-3</c:v>
                </c:pt>
                <c:pt idx="17">
                  <c:v>1.6642321753037901E-2</c:v>
                </c:pt>
                <c:pt idx="18">
                  <c:v>2.8829298683889799E-2</c:v>
                </c:pt>
                <c:pt idx="19">
                  <c:v>1.3106357466991901E-2</c:v>
                </c:pt>
                <c:pt idx="20">
                  <c:v>1.7568072890212099E-2</c:v>
                </c:pt>
                <c:pt idx="21">
                  <c:v>7.98675993580906E-3</c:v>
                </c:pt>
                <c:pt idx="22">
                  <c:v>8.4521007894955008E-3</c:v>
                </c:pt>
                <c:pt idx="23">
                  <c:v>2.0596960882492899E-2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E00F-48E2-988D-151B9378F6FB}"/>
            </c:ext>
          </c:extLst>
        </c:ser>
        <c:ser>
          <c:idx val="22"/>
          <c:order val="22"/>
          <c:tx>
            <c:strRef>
              <c:f>'feature importance graph'!$Z$1</c:f>
              <c:strCache>
                <c:ptCount val="1"/>
                <c:pt idx="0">
                  <c:v>0.025M Sodium Caprylate on CM Sepharose FF pH 6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graph'!$Z$2:$Z$25</c:f>
              <c:numCache>
                <c:formatCode>General</c:formatCode>
                <c:ptCount val="24"/>
                <c:pt idx="0">
                  <c:v>1.09346366291569E-2</c:v>
                </c:pt>
                <c:pt idx="1">
                  <c:v>3.1232967414074699E-2</c:v>
                </c:pt>
                <c:pt idx="2">
                  <c:v>1.9422173627246998E-2</c:v>
                </c:pt>
                <c:pt idx="3">
                  <c:v>1.8569488975626301E-2</c:v>
                </c:pt>
                <c:pt idx="4">
                  <c:v>1.42032969165292E-2</c:v>
                </c:pt>
                <c:pt idx="5">
                  <c:v>3.9129406658508304E-3</c:v>
                </c:pt>
                <c:pt idx="6">
                  <c:v>1.7644795289216799E-3</c:v>
                </c:pt>
                <c:pt idx="7">
                  <c:v>4.59629789431779E-3</c:v>
                </c:pt>
                <c:pt idx="8">
                  <c:v>2.6928364310827398E-2</c:v>
                </c:pt>
                <c:pt idx="9">
                  <c:v>1.2460069232375101E-2</c:v>
                </c:pt>
                <c:pt idx="10">
                  <c:v>2.4969723323913201E-2</c:v>
                </c:pt>
                <c:pt idx="11">
                  <c:v>2.8567559157621401E-2</c:v>
                </c:pt>
                <c:pt idx="12">
                  <c:v>1.6343187323699899E-2</c:v>
                </c:pt>
                <c:pt idx="13">
                  <c:v>2.8005574503340701E-2</c:v>
                </c:pt>
                <c:pt idx="14">
                  <c:v>2.4391761387560201E-2</c:v>
                </c:pt>
                <c:pt idx="15">
                  <c:v>1.1169163860813699E-2</c:v>
                </c:pt>
                <c:pt idx="16">
                  <c:v>1.49372216668057E-2</c:v>
                </c:pt>
                <c:pt idx="17">
                  <c:v>1.8668046567342202E-2</c:v>
                </c:pt>
                <c:pt idx="18">
                  <c:v>2.8234245315636699E-2</c:v>
                </c:pt>
                <c:pt idx="19">
                  <c:v>1.8182404798855901E-2</c:v>
                </c:pt>
                <c:pt idx="20">
                  <c:v>1.89921413063458E-2</c:v>
                </c:pt>
                <c:pt idx="21">
                  <c:v>2.892680805272E-3</c:v>
                </c:pt>
                <c:pt idx="22">
                  <c:v>5.0042615126989903E-3</c:v>
                </c:pt>
                <c:pt idx="23">
                  <c:v>1.9037604076828502E-2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6-E00F-48E2-988D-151B9378F6FB}"/>
            </c:ext>
          </c:extLst>
        </c:ser>
        <c:ser>
          <c:idx val="23"/>
          <c:order val="23"/>
          <c:tx>
            <c:strRef>
              <c:f>'feature importance graph'!$AA$1</c:f>
              <c:strCache>
                <c:ptCount val="1"/>
                <c:pt idx="0">
                  <c:v>0M Sodium Caprylate on CM Sepharose FF pH 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graph'!$AA$2:$AA$25</c:f>
              <c:numCache>
                <c:formatCode>General</c:formatCode>
                <c:ptCount val="24"/>
                <c:pt idx="0">
                  <c:v>2.7337851046438901E-2</c:v>
                </c:pt>
                <c:pt idx="1">
                  <c:v>3.7354586575921403E-2</c:v>
                </c:pt>
                <c:pt idx="2">
                  <c:v>1.6103384065432401E-2</c:v>
                </c:pt>
                <c:pt idx="3">
                  <c:v>1.8002609991987099E-2</c:v>
                </c:pt>
                <c:pt idx="4">
                  <c:v>6.3226234382149204E-3</c:v>
                </c:pt>
                <c:pt idx="5">
                  <c:v>3.41530848765118E-3</c:v>
                </c:pt>
                <c:pt idx="6">
                  <c:v>1.91713785233187E-2</c:v>
                </c:pt>
                <c:pt idx="7">
                  <c:v>3.6101493657045699E-3</c:v>
                </c:pt>
                <c:pt idx="8">
                  <c:v>2.07800015552922E-2</c:v>
                </c:pt>
                <c:pt idx="9">
                  <c:v>1.97752274708928E-2</c:v>
                </c:pt>
                <c:pt idx="10">
                  <c:v>2.2350666921836501E-2</c:v>
                </c:pt>
                <c:pt idx="11">
                  <c:v>3.29919749686843E-2</c:v>
                </c:pt>
                <c:pt idx="12">
                  <c:v>8.8095975836432992E-3</c:v>
                </c:pt>
                <c:pt idx="13">
                  <c:v>2.95589824650003E-2</c:v>
                </c:pt>
                <c:pt idx="14">
                  <c:v>2.8754670587560399E-2</c:v>
                </c:pt>
                <c:pt idx="15">
                  <c:v>1.1615486040633701E-2</c:v>
                </c:pt>
                <c:pt idx="16">
                  <c:v>1.5803685158785202E-2</c:v>
                </c:pt>
                <c:pt idx="17">
                  <c:v>2.14880472551181E-2</c:v>
                </c:pt>
                <c:pt idx="18">
                  <c:v>3.2107634871234102E-2</c:v>
                </c:pt>
                <c:pt idx="19">
                  <c:v>1.9202503997286801E-2</c:v>
                </c:pt>
                <c:pt idx="20">
                  <c:v>1.6061608349972601E-2</c:v>
                </c:pt>
                <c:pt idx="21">
                  <c:v>4.3112504160798398E-3</c:v>
                </c:pt>
                <c:pt idx="22">
                  <c:v>1.2236387406382301E-2</c:v>
                </c:pt>
                <c:pt idx="23">
                  <c:v>2.0168090884250301E-2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7-E00F-48E2-988D-151B9378F6FB}"/>
            </c:ext>
          </c:extLst>
        </c:ser>
        <c:ser>
          <c:idx val="24"/>
          <c:order val="24"/>
          <c:tx>
            <c:strRef>
              <c:f>'feature importance graph'!$AB$1</c:f>
              <c:strCache>
                <c:ptCount val="1"/>
                <c:pt idx="0">
                  <c:v>0.01M Sodium Caprylate on Capto MMC pH 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graph'!$AB$2:$AB$25</c:f>
              <c:numCache>
                <c:formatCode>General</c:formatCode>
                <c:ptCount val="24"/>
                <c:pt idx="0">
                  <c:v>9.3105188868729399E-3</c:v>
                </c:pt>
                <c:pt idx="1">
                  <c:v>9.8599851251193991E-3</c:v>
                </c:pt>
                <c:pt idx="2">
                  <c:v>4.1548947713517997E-2</c:v>
                </c:pt>
                <c:pt idx="3">
                  <c:v>3.3573575426808201E-2</c:v>
                </c:pt>
                <c:pt idx="4">
                  <c:v>9.0261124767683793E-3</c:v>
                </c:pt>
                <c:pt idx="5">
                  <c:v>1.05489136995464E-2</c:v>
                </c:pt>
                <c:pt idx="6">
                  <c:v>2.37542140108555E-2</c:v>
                </c:pt>
                <c:pt idx="7">
                  <c:v>8.5607879137969498E-3</c:v>
                </c:pt>
                <c:pt idx="8">
                  <c:v>3.9781188542299603E-2</c:v>
                </c:pt>
                <c:pt idx="9">
                  <c:v>2.1549907749316401E-2</c:v>
                </c:pt>
                <c:pt idx="10">
                  <c:v>2.48897491673006E-2</c:v>
                </c:pt>
                <c:pt idx="11">
                  <c:v>4.0202828085372101E-2</c:v>
                </c:pt>
                <c:pt idx="12">
                  <c:v>2.20312593987711E-2</c:v>
                </c:pt>
                <c:pt idx="13">
                  <c:v>1.3627640650341199E-2</c:v>
                </c:pt>
                <c:pt idx="14">
                  <c:v>4.3567022622583398E-2</c:v>
                </c:pt>
                <c:pt idx="15">
                  <c:v>1.6377511427041899E-2</c:v>
                </c:pt>
                <c:pt idx="16">
                  <c:v>1.40262443461897E-2</c:v>
                </c:pt>
                <c:pt idx="17">
                  <c:v>3.1528452192601399E-2</c:v>
                </c:pt>
                <c:pt idx="18">
                  <c:v>3.91186879826056E-2</c:v>
                </c:pt>
                <c:pt idx="19">
                  <c:v>6.7046170903475996E-3</c:v>
                </c:pt>
                <c:pt idx="20">
                  <c:v>1.5145857961503599E-2</c:v>
                </c:pt>
                <c:pt idx="21">
                  <c:v>6.5019301012481196E-3</c:v>
                </c:pt>
                <c:pt idx="22">
                  <c:v>1.13090248591338E-2</c:v>
                </c:pt>
                <c:pt idx="23">
                  <c:v>1.2903120836286201E-2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E-E00F-48E2-988D-151B9378F6FB}"/>
            </c:ext>
          </c:extLst>
        </c:ser>
        <c:ser>
          <c:idx val="25"/>
          <c:order val="25"/>
          <c:tx>
            <c:strRef>
              <c:f>'feature importance graph'!$AC$1</c:f>
              <c:strCache>
                <c:ptCount val="1"/>
                <c:pt idx="0">
                  <c:v>0.025M Sodium Caprylate on Capto MMC pH 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graph'!$AC$2:$AC$25</c:f>
              <c:numCache>
                <c:formatCode>General</c:formatCode>
                <c:ptCount val="24"/>
                <c:pt idx="0">
                  <c:v>2.8526636969841099E-4</c:v>
                </c:pt>
                <c:pt idx="1">
                  <c:v>1.9488152147870402E-2</c:v>
                </c:pt>
                <c:pt idx="2">
                  <c:v>3.7095745878275403E-2</c:v>
                </c:pt>
                <c:pt idx="3">
                  <c:v>3.3699710745411803E-2</c:v>
                </c:pt>
                <c:pt idx="4">
                  <c:v>9.3698311324351604E-3</c:v>
                </c:pt>
                <c:pt idx="5">
                  <c:v>6.7514785898692897E-3</c:v>
                </c:pt>
                <c:pt idx="6">
                  <c:v>1.46131286029551E-2</c:v>
                </c:pt>
                <c:pt idx="7">
                  <c:v>4.8791500673712697E-3</c:v>
                </c:pt>
                <c:pt idx="8">
                  <c:v>3.3079677762867701E-2</c:v>
                </c:pt>
                <c:pt idx="9">
                  <c:v>1.9933848000651799E-2</c:v>
                </c:pt>
                <c:pt idx="10">
                  <c:v>3.0800677530747899E-2</c:v>
                </c:pt>
                <c:pt idx="11">
                  <c:v>3.7713363930942698E-2</c:v>
                </c:pt>
                <c:pt idx="12">
                  <c:v>2.3770785944397702E-2</c:v>
                </c:pt>
                <c:pt idx="13">
                  <c:v>1.9462487686601498E-2</c:v>
                </c:pt>
                <c:pt idx="14">
                  <c:v>3.9635397430648797E-2</c:v>
                </c:pt>
                <c:pt idx="15">
                  <c:v>1.8729680797321499E-2</c:v>
                </c:pt>
                <c:pt idx="16">
                  <c:v>1.7950437854555398E-2</c:v>
                </c:pt>
                <c:pt idx="17">
                  <c:v>2.9840997421601699E-2</c:v>
                </c:pt>
                <c:pt idx="18">
                  <c:v>3.7607847181839502E-2</c:v>
                </c:pt>
                <c:pt idx="19">
                  <c:v>1.1116250463289699E-2</c:v>
                </c:pt>
                <c:pt idx="20">
                  <c:v>1.67330390692986E-2</c:v>
                </c:pt>
                <c:pt idx="21">
                  <c:v>3.3908105903633802E-4</c:v>
                </c:pt>
                <c:pt idx="22">
                  <c:v>5.42452965264915E-3</c:v>
                </c:pt>
                <c:pt idx="23">
                  <c:v>1.7246176168441901E-2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F-E00F-48E2-988D-151B9378F6FB}"/>
            </c:ext>
          </c:extLst>
        </c:ser>
        <c:ser>
          <c:idx val="26"/>
          <c:order val="26"/>
          <c:tx>
            <c:strRef>
              <c:f>'feature importance graph'!$AD$1</c:f>
              <c:strCache>
                <c:ptCount val="1"/>
                <c:pt idx="0">
                  <c:v>0M Sodium Caprylate on Capto MMC pH 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'feature importance graph'!$C$2:$C$25</c:f>
              <c:strCache>
                <c:ptCount val="24"/>
                <c:pt idx="0">
                  <c:v>ALASurfFrac</c:v>
                </c:pt>
                <c:pt idx="1">
                  <c:v>ILESurfFrac</c:v>
                </c:pt>
                <c:pt idx="2">
                  <c:v>TRPSurfFrac</c:v>
                </c:pt>
                <c:pt idx="3">
                  <c:v>TYRSurfFrac</c:v>
                </c:pt>
                <c:pt idx="4">
                  <c:v>VALSurfFrac</c:v>
                </c:pt>
                <c:pt idx="5">
                  <c:v>ASPSurfFrac</c:v>
                </c:pt>
                <c:pt idx="6">
                  <c:v>CYSSurfFrac</c:v>
                </c:pt>
                <c:pt idx="7">
                  <c:v>GLYSurfFrac</c:v>
                </c:pt>
                <c:pt idx="8">
                  <c:v>GLNSurfFrac</c:v>
                </c:pt>
                <c:pt idx="9">
                  <c:v>SERSurfFrac</c:v>
                </c:pt>
                <c:pt idx="10">
                  <c:v>THRSurfFrac</c:v>
                </c:pt>
                <c:pt idx="11">
                  <c:v>ARGSurfFrac</c:v>
                </c:pt>
                <c:pt idx="12">
                  <c:v>HISSurfFrac</c:v>
                </c:pt>
                <c:pt idx="13">
                  <c:v>INT_aliphatic_cluster</c:v>
                </c:pt>
                <c:pt idx="14">
                  <c:v>INT_arg_lys_ratio</c:v>
                </c:pt>
                <c:pt idx="15">
                  <c:v>INT_aromatic_hydrophobic</c:v>
                </c:pt>
                <c:pt idx="16">
                  <c:v>INT_aromatic_sum</c:v>
                </c:pt>
                <c:pt idx="17">
                  <c:v>INT_gln_charge</c:v>
                </c:pt>
                <c:pt idx="18">
                  <c:v>INT_shape_arg</c:v>
                </c:pt>
                <c:pt idx="19">
                  <c:v>INT_trp_tyr</c:v>
                </c:pt>
                <c:pt idx="20">
                  <c:v>Isoelectric point</c:v>
                </c:pt>
                <c:pt idx="21">
                  <c:v>Shape max</c:v>
                </c:pt>
                <c:pt idx="22">
                  <c:v>SurfMhpMin</c:v>
                </c:pt>
                <c:pt idx="23">
                  <c:v>SurfNegMhpStd</c:v>
                </c:pt>
              </c:strCache>
            </c:strRef>
          </c:cat>
          <c:val>
            <c:numRef>
              <c:f>'feature importance graph'!$AD$2:$AD$25</c:f>
              <c:numCache>
                <c:formatCode>General</c:formatCode>
                <c:ptCount val="24"/>
                <c:pt idx="0">
                  <c:v>1.01101194403359E-2</c:v>
                </c:pt>
                <c:pt idx="1">
                  <c:v>9.2731605943770293E-3</c:v>
                </c:pt>
                <c:pt idx="2">
                  <c:v>4.2617013216827003E-2</c:v>
                </c:pt>
                <c:pt idx="3">
                  <c:v>4.0785776349934202E-2</c:v>
                </c:pt>
                <c:pt idx="4">
                  <c:v>4.9863126573051701E-3</c:v>
                </c:pt>
                <c:pt idx="5">
                  <c:v>1.46588092250724E-2</c:v>
                </c:pt>
                <c:pt idx="6">
                  <c:v>2.37680384617883E-2</c:v>
                </c:pt>
                <c:pt idx="7">
                  <c:v>1.07328664817246E-2</c:v>
                </c:pt>
                <c:pt idx="8">
                  <c:v>3.7235011211791097E-2</c:v>
                </c:pt>
                <c:pt idx="9">
                  <c:v>2.5183536819098601E-2</c:v>
                </c:pt>
                <c:pt idx="10">
                  <c:v>2.8958088573133801E-2</c:v>
                </c:pt>
                <c:pt idx="11">
                  <c:v>3.8816579859927001E-2</c:v>
                </c:pt>
                <c:pt idx="12">
                  <c:v>2.3724187034970201E-2</c:v>
                </c:pt>
                <c:pt idx="13">
                  <c:v>1.3492495119090901E-2</c:v>
                </c:pt>
                <c:pt idx="14">
                  <c:v>4.1746321786050603E-2</c:v>
                </c:pt>
                <c:pt idx="15">
                  <c:v>2.3309645974674099E-2</c:v>
                </c:pt>
                <c:pt idx="16">
                  <c:v>1.81387472976592E-2</c:v>
                </c:pt>
                <c:pt idx="17">
                  <c:v>3.4266850249829402E-2</c:v>
                </c:pt>
                <c:pt idx="18">
                  <c:v>3.7607176412884802E-2</c:v>
                </c:pt>
                <c:pt idx="19">
                  <c:v>8.9646945182228696E-3</c:v>
                </c:pt>
                <c:pt idx="20">
                  <c:v>1.2090716576935501E-2</c:v>
                </c:pt>
                <c:pt idx="21">
                  <c:v>6.2463073358214197E-3</c:v>
                </c:pt>
                <c:pt idx="22">
                  <c:v>1.16083525478053E-2</c:v>
                </c:pt>
                <c:pt idx="23">
                  <c:v>8.2712317158734599E-3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20-E00F-48E2-988D-151B9378F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207728"/>
        <c:axId val="921203888"/>
        <c:extLst/>
      </c:radarChart>
      <c:catAx>
        <c:axId val="92120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03888"/>
        <c:crosses val="autoZero"/>
        <c:auto val="1"/>
        <c:lblAlgn val="ctr"/>
        <c:lblOffset val="100"/>
        <c:noMultiLvlLbl val="0"/>
      </c:catAx>
      <c:valAx>
        <c:axId val="921203888"/>
        <c:scaling>
          <c:logBase val="10"/>
          <c:orientation val="minMax"/>
          <c:max val="0.1"/>
          <c:min val="1.0000000000000004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20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8186226056854944E-2"/>
          <c:y val="0.21505694814353141"/>
          <c:w val="0.18982557155686086"/>
          <c:h val="0.7340520570321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1609437</xdr:colOff>
      <xdr:row>10</xdr:row>
      <xdr:rowOff>165532</xdr:rowOff>
    </xdr:from>
    <xdr:to>
      <xdr:col>29</xdr:col>
      <xdr:colOff>695036</xdr:colOff>
      <xdr:row>100</xdr:row>
      <xdr:rowOff>107229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AB693-1270-7507-A0D4-3C20F2B59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0CAAF6-C793-49B1-B1AD-660590C41323}" name="Table2" displayName="Table2" ref="A1:AD25" totalsRowShown="0">
  <autoFilter ref="A1:AD25" xr:uid="{DA0CAAF6-C793-49B1-B1AD-660590C41323}"/>
  <sortState xmlns:xlrd2="http://schemas.microsoft.com/office/spreadsheetml/2017/richdata2" ref="A2:AD25">
    <sortCondition ref="B1:B25"/>
  </sortState>
  <tableColumns count="30">
    <tableColumn id="29" xr3:uid="{FE238AF0-B4B5-46D5-883C-74C157A51EF6}" name="category"/>
    <tableColumn id="30" xr3:uid="{60BAAC5F-AC0A-4E53-B646-8E1B781E7ECB}" name="aa type"/>
    <tableColumn id="1" xr3:uid="{261C9A4D-6769-40EE-B2ED-492D34BFAC46}" name="model"/>
    <tableColumn id="2" xr3:uid="{8AA9D073-4168-433A-B4D9-6F62F25FCE91}" name="0.025M Arginine on CM Sepharose FF pH 6"/>
    <tableColumn id="3" xr3:uid="{B9A11F9E-81B3-44C6-B156-3527F5037AD6}" name="0.1M Arginine on CM Sepharose FF pH 6"/>
    <tableColumn id="4" xr3:uid="{AC8662D2-A800-4994-8E66-9A27E66F8E4F}" name="0M Arginine on CM Sepharose FF pH 6"/>
    <tableColumn id="5" xr3:uid="{15D751F0-AC90-4E0C-BAE3-9911D4D15FDB}" name="0,025M Arginine on Capto MMC pH 6"/>
    <tableColumn id="6" xr3:uid="{273D05D0-6914-4A44-8368-F9738DB5D0DA}" name="0.1M Arginine on Capto MMC pH 6"/>
    <tableColumn id="7" xr3:uid="{D80E1C3F-E474-401E-9CDF-67F5282C4EC9}" name="0M Arginine on Capto MMC pH 6"/>
    <tableColumn id="8" xr3:uid="{89F1F288-0CD8-4B7D-9676-BB9105AA8E2F}" name="0.025M Guanidine on CM Sepharose FF pH 6"/>
    <tableColumn id="9" xr3:uid="{004EAFFF-4BFA-4DBA-A108-3603AC5BDCE6}" name="0.1M Guanidine on CM Sepharose pH 6"/>
    <tableColumn id="10" xr3:uid="{FDCDF370-69A0-479B-82D0-4AB96052B5FD}" name="0M Guanidine on CM Sepharose FF pH 6"/>
    <tableColumn id="11" xr3:uid="{B9813F2D-172F-4045-931A-881D7456E0CF}" name="0.025M Guanidine on Capto MMC pH 6"/>
    <tableColumn id="12" xr3:uid="{A44860B2-98CA-4015-9AC2-F8DE08E37BC3}" name="0.1M Guanidine on Capto MMC pH 6"/>
    <tableColumn id="13" xr3:uid="{C9623FBF-2A5B-4436-B4B6-0B7DB1C03430}" name="0M Guanidine on Capto MMC pH 6"/>
    <tableColumn id="14" xr3:uid="{B396D074-F621-43ED-91BC-08E02356809C}" name="CM Sepharose FF pH 5"/>
    <tableColumn id="15" xr3:uid="{A8B4174A-6605-4FD8-A5F9-AE55B3D961DF}" name="Capto MMC pH 5"/>
    <tableColumn id="16" xr3:uid="{391F8C49-65B5-4B3F-902E-28723D54FCBE}" name="SP Sepharose FF pH 5"/>
    <tableColumn id="17" xr3:uid="{622949E9-F326-4ED5-8DA3-98581E5F3B0F}" name="CM Sepharose FF pH 6"/>
    <tableColumn id="18" xr3:uid="{C996BFB7-C6BA-45C7-AF21-ADAE6769E664}" name="Capto MMC pH 6"/>
    <tableColumn id="19" xr3:uid="{8A9E506D-9730-407C-AF2E-412C534A08EB}" name="SP Sepharose FF pH 6"/>
    <tableColumn id="20" xr3:uid="{5869497A-5A46-4E30-B055-EA7D74303C3E}" name="20% Ethylene Glycol on Capto MMC pH 6"/>
    <tableColumn id="21" xr3:uid="{ED790F7D-FFE2-4B32-80DB-BFE3DEB2BF86}" name="20% Propylene Glycol on Capto MMC pH 6"/>
    <tableColumn id="22" xr3:uid="{32BD70B1-8241-4A64-A5F3-0E732E0E8C81}" name="No Modifier (poly-ols)"/>
    <tableColumn id="23" xr3:uid="{4CFBA03F-7915-4671-8834-C73151A4C9CD}" name="0.01 Sodium Caprylate on CM Sepharose FF pH 6"/>
    <tableColumn id="24" xr3:uid="{33DC555D-CE8A-478B-BCD6-B0926CC7CF3C}" name="0.025M Sodium Caprylate on CM Sepharose FF pH 6"/>
    <tableColumn id="25" xr3:uid="{B1626B57-DE7F-4E12-91F1-08B840AD8FF6}" name="0M Sodium Caprylate on CM Sepharose FF pH 6"/>
    <tableColumn id="26" xr3:uid="{76AE8016-5C9D-497F-A6D1-D91AF5831B92}" name="0.01M Sodium Caprylate on Capto MMC pH 6"/>
    <tableColumn id="27" xr3:uid="{C9996F90-018D-4C5C-8976-9D2A8EB1BDC0}" name="0.025M Sodium Caprylate on Capto MMC pH 6"/>
    <tableColumn id="28" xr3:uid="{F601F29F-1B84-4160-A1DB-8EF43547E1FD}" name="0M Sodium Caprylate on Capto MMC pH 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5A96-B4B3-4953-9334-4A943F2B2ED6}">
  <dimension ref="A1:Y28"/>
  <sheetViews>
    <sheetView workbookViewId="0">
      <selection activeCell="A3" sqref="A1:Y3"/>
    </sheetView>
  </sheetViews>
  <sheetFormatPr defaultRowHeight="14.5" x14ac:dyDescent="0.35"/>
  <cols>
    <col min="1" max="1" width="26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1.6595156889855601E-3</v>
      </c>
      <c r="C2">
        <v>3.0014230562922701E-2</v>
      </c>
      <c r="D2">
        <v>9.0075552038734394E-3</v>
      </c>
      <c r="E2">
        <v>3.7266836829025298E-3</v>
      </c>
      <c r="F2">
        <v>3.4960519531053703E-2</v>
      </c>
      <c r="G2">
        <v>8.6942088582572397E-3</v>
      </c>
      <c r="H2">
        <v>7.5481052537588996E-3</v>
      </c>
      <c r="I2">
        <v>1.8786880673766802E-2</v>
      </c>
      <c r="J2">
        <v>2.1718987573496201E-2</v>
      </c>
      <c r="K2">
        <v>3.3275779315888897E-2</v>
      </c>
      <c r="L2">
        <v>1.48433932130071E-2</v>
      </c>
      <c r="M2">
        <v>1.46696790120088E-2</v>
      </c>
      <c r="N2">
        <v>3.1236339024768502E-2</v>
      </c>
      <c r="O2">
        <v>2.6751782875007801E-2</v>
      </c>
      <c r="P2">
        <v>1.6088968779701299E-2</v>
      </c>
      <c r="Q2">
        <v>1.6570965886055399E-2</v>
      </c>
      <c r="R2">
        <v>2.2285634362705298E-2</v>
      </c>
      <c r="S2">
        <v>1.39815216096536E-2</v>
      </c>
      <c r="T2">
        <v>4.5368718813723003E-3</v>
      </c>
      <c r="U2">
        <v>6.27044160075941E-3</v>
      </c>
      <c r="V2">
        <v>3.1853077565031702E-2</v>
      </c>
      <c r="W2">
        <v>3.4164732246172898E-2</v>
      </c>
      <c r="X2">
        <v>3.1055851263193299E-2</v>
      </c>
      <c r="Y2">
        <v>1.8872599752629501E-2</v>
      </c>
    </row>
    <row r="3" spans="1:25" x14ac:dyDescent="0.35">
      <c r="A3" t="s">
        <v>26</v>
      </c>
      <c r="B3">
        <v>6.4876711589829999E-3</v>
      </c>
      <c r="C3">
        <v>3.8000391763567697E-2</v>
      </c>
      <c r="D3">
        <v>1.0845477140523E-2</v>
      </c>
      <c r="E3">
        <v>8.8101233692607899E-3</v>
      </c>
      <c r="F3">
        <v>4.18246833260204E-2</v>
      </c>
      <c r="G3">
        <v>4.8826540736021298E-3</v>
      </c>
      <c r="H3">
        <v>8.9498626871036997E-3</v>
      </c>
      <c r="I3">
        <v>2.4969920217859699E-2</v>
      </c>
      <c r="J3">
        <v>1.74176244087836E-2</v>
      </c>
      <c r="K3">
        <v>4.1591717382261799E-2</v>
      </c>
      <c r="L3">
        <v>1.5643485229945301E-2</v>
      </c>
      <c r="M3">
        <v>1.37485041021749E-2</v>
      </c>
      <c r="N3">
        <v>3.2285168104643998E-2</v>
      </c>
      <c r="O3">
        <v>3.5617665366585699E-2</v>
      </c>
      <c r="P3">
        <v>6.1699914787626004E-3</v>
      </c>
      <c r="Q3">
        <v>1.8101798823459601E-2</v>
      </c>
      <c r="R3">
        <v>2.9291417824314301E-2</v>
      </c>
      <c r="S3">
        <v>7.3473478296888304E-3</v>
      </c>
      <c r="T3">
        <v>1.25728664322613E-2</v>
      </c>
      <c r="U3">
        <v>9.0433617995787797E-3</v>
      </c>
      <c r="V3">
        <v>3.2105434797390003E-2</v>
      </c>
      <c r="W3">
        <v>3.3863333081213802E-2</v>
      </c>
      <c r="X3">
        <v>2.96787212949985E-2</v>
      </c>
      <c r="Y3">
        <v>6.6996192272951198E-3</v>
      </c>
    </row>
    <row r="4" spans="1:25" x14ac:dyDescent="0.35">
      <c r="A4" t="s">
        <v>27</v>
      </c>
      <c r="B4">
        <v>1.83829260273045E-2</v>
      </c>
      <c r="C4">
        <v>2.6654744715396798E-2</v>
      </c>
      <c r="D4">
        <v>3.5800671452332301E-3</v>
      </c>
      <c r="E4">
        <v>1.6441401694867599E-2</v>
      </c>
      <c r="F4">
        <v>2.76717345270019E-2</v>
      </c>
      <c r="G4">
        <v>1.7312331533326599E-3</v>
      </c>
      <c r="H4">
        <v>1.85107908368361E-3</v>
      </c>
      <c r="I4">
        <v>3.42537202522738E-2</v>
      </c>
      <c r="J4">
        <v>2.8763567118524801E-2</v>
      </c>
      <c r="K4">
        <v>2.7151148966859499E-2</v>
      </c>
      <c r="L4">
        <v>1.2971013519273799E-2</v>
      </c>
      <c r="M4">
        <v>1.3013474841529401E-2</v>
      </c>
      <c r="N4">
        <v>2.5914745274789801E-2</v>
      </c>
      <c r="O4">
        <v>2.4543161279075E-2</v>
      </c>
      <c r="P4">
        <v>1.6846921580398799E-2</v>
      </c>
      <c r="Q4">
        <v>1.77304048305181E-2</v>
      </c>
      <c r="R4">
        <v>2.0784634406971401E-2</v>
      </c>
      <c r="S4">
        <v>6.6896584636056801E-3</v>
      </c>
      <c r="T4">
        <v>3.9223219557989698E-3</v>
      </c>
      <c r="U4">
        <v>1.34809287678907E-2</v>
      </c>
      <c r="V4">
        <v>3.1990985601962299E-2</v>
      </c>
      <c r="W4">
        <v>2.3657857073762101E-2</v>
      </c>
      <c r="X4">
        <v>2.3094987176762002E-2</v>
      </c>
      <c r="Y4">
        <v>1.6760047142065901E-2</v>
      </c>
    </row>
    <row r="5" spans="1:25" x14ac:dyDescent="0.35">
      <c r="A5" t="s">
        <v>28</v>
      </c>
      <c r="B5">
        <v>1.3376969397375401E-2</v>
      </c>
      <c r="C5">
        <v>3.2217227205818003E-2</v>
      </c>
      <c r="D5">
        <v>8.2875873405355294E-3</v>
      </c>
      <c r="E5">
        <v>2.3836522582913099E-2</v>
      </c>
      <c r="F5">
        <v>3.7271005316228303E-2</v>
      </c>
      <c r="G5">
        <v>1.0530785149168999E-2</v>
      </c>
      <c r="H5">
        <v>2.1287792115148099E-2</v>
      </c>
      <c r="I5">
        <v>9.1980066157910396E-3</v>
      </c>
      <c r="J5">
        <v>1.64652790022266E-2</v>
      </c>
      <c r="K5">
        <v>3.6580068975032097E-2</v>
      </c>
      <c r="L5">
        <v>2.0107969895627201E-2</v>
      </c>
      <c r="M5">
        <v>1.3562437771961901E-2</v>
      </c>
      <c r="N5">
        <v>3.0863696454723099E-2</v>
      </c>
      <c r="O5">
        <v>3.0938100195836499E-2</v>
      </c>
      <c r="P5">
        <v>8.0381047562284799E-3</v>
      </c>
      <c r="Q5">
        <v>1.4441418379069201E-2</v>
      </c>
      <c r="R5">
        <v>1.96385331742992E-2</v>
      </c>
      <c r="S5">
        <v>7.5082224486501502E-3</v>
      </c>
      <c r="T5">
        <v>1.25788331638665E-2</v>
      </c>
      <c r="U5">
        <v>8.9028143046023401E-3</v>
      </c>
      <c r="V5">
        <v>2.84140415668531E-2</v>
      </c>
      <c r="W5">
        <v>4.26645531173672E-2</v>
      </c>
      <c r="X5">
        <v>3.7053485664498897E-2</v>
      </c>
      <c r="Y5">
        <v>1.44151338287077E-2</v>
      </c>
    </row>
    <row r="6" spans="1:25" x14ac:dyDescent="0.35">
      <c r="A6" t="s">
        <v>29</v>
      </c>
      <c r="B6">
        <v>1.46061353814724E-2</v>
      </c>
      <c r="C6">
        <v>2.9383562445155501E-2</v>
      </c>
      <c r="D6">
        <v>5.1092228917108398E-3</v>
      </c>
      <c r="E6">
        <v>2.6571738811739298E-2</v>
      </c>
      <c r="F6">
        <v>3.6057809565993103E-2</v>
      </c>
      <c r="G6">
        <v>1.0678909633725E-2</v>
      </c>
      <c r="H6">
        <v>2.2287111352578201E-2</v>
      </c>
      <c r="I6">
        <v>9.8575936382100295E-3</v>
      </c>
      <c r="J6">
        <v>1.64098390951899E-2</v>
      </c>
      <c r="K6">
        <v>3.3026476550327803E-2</v>
      </c>
      <c r="L6">
        <v>2.06378989027853E-2</v>
      </c>
      <c r="M6">
        <v>1.3618886344088E-2</v>
      </c>
      <c r="N6">
        <v>2.88967544069758E-2</v>
      </c>
      <c r="O6">
        <v>2.8797724682959099E-2</v>
      </c>
      <c r="P6">
        <v>9.3108491309318708E-3</v>
      </c>
      <c r="Q6">
        <v>1.51521627153808E-2</v>
      </c>
      <c r="R6">
        <v>1.8330933071834601E-2</v>
      </c>
      <c r="S6">
        <v>5.2224809993889299E-3</v>
      </c>
      <c r="T6">
        <v>1.2480706067958E-2</v>
      </c>
      <c r="U6">
        <v>1.04993846801722E-2</v>
      </c>
      <c r="V6">
        <v>2.7402925865569399E-2</v>
      </c>
      <c r="W6">
        <v>3.8979003637476799E-2</v>
      </c>
      <c r="X6">
        <v>3.5373505184999397E-2</v>
      </c>
      <c r="Y6">
        <v>1.48013266736047E-2</v>
      </c>
    </row>
    <row r="7" spans="1:25" x14ac:dyDescent="0.35">
      <c r="A7" t="s">
        <v>30</v>
      </c>
      <c r="B7">
        <v>4.3552179782125697E-3</v>
      </c>
      <c r="C7">
        <v>3.8835971212168099E-2</v>
      </c>
      <c r="D7">
        <v>1.1245044165165001E-2</v>
      </c>
      <c r="E7">
        <v>2.0158541658273601E-2</v>
      </c>
      <c r="F7">
        <v>3.5258692406440799E-2</v>
      </c>
      <c r="G7">
        <v>1.00898625069146E-2</v>
      </c>
      <c r="H7">
        <v>2.5611618322529301E-2</v>
      </c>
      <c r="I7">
        <v>1.6966600245447799E-2</v>
      </c>
      <c r="J7">
        <v>1.8557901621892799E-2</v>
      </c>
      <c r="K7">
        <v>3.8920027142838903E-2</v>
      </c>
      <c r="L7">
        <v>2.3489581487704501E-2</v>
      </c>
      <c r="M7">
        <v>1.9594560506088099E-2</v>
      </c>
      <c r="N7">
        <v>3.144929659621E-2</v>
      </c>
      <c r="O7">
        <v>3.7999481863490302E-2</v>
      </c>
      <c r="P7">
        <v>1.09971310888765E-2</v>
      </c>
      <c r="Q7">
        <v>1.29796493368339E-2</v>
      </c>
      <c r="R7">
        <v>2.29632177046688E-2</v>
      </c>
      <c r="S7">
        <v>3.7850814509411E-3</v>
      </c>
      <c r="T7">
        <v>7.4677565381199599E-3</v>
      </c>
      <c r="U7">
        <v>1.12957725899555E-2</v>
      </c>
      <c r="V7">
        <v>3.0410322911878299E-2</v>
      </c>
      <c r="W7">
        <v>3.8947339065556003E-2</v>
      </c>
      <c r="X7">
        <v>3.8764916409031701E-2</v>
      </c>
      <c r="Y7">
        <v>4.4570222019811902E-3</v>
      </c>
    </row>
    <row r="8" spans="1:25" x14ac:dyDescent="0.35">
      <c r="A8" t="s">
        <v>31</v>
      </c>
      <c r="B8">
        <v>9.9776167270242706E-3</v>
      </c>
      <c r="C8">
        <v>2.9890588929716501E-2</v>
      </c>
      <c r="D8">
        <v>1.6436724538655999E-3</v>
      </c>
      <c r="E8">
        <v>5.5621387716710598E-3</v>
      </c>
      <c r="F8">
        <v>3.6368797647797803E-2</v>
      </c>
      <c r="G8">
        <v>3.1418587497905499E-3</v>
      </c>
      <c r="H8">
        <v>4.1684073909221096E-3</v>
      </c>
      <c r="I8">
        <v>3.0094897477548999E-2</v>
      </c>
      <c r="J8">
        <v>2.8945328173937499E-2</v>
      </c>
      <c r="K8">
        <v>3.0347830112629901E-2</v>
      </c>
      <c r="L8">
        <v>2.77355593744469E-3</v>
      </c>
      <c r="M8">
        <v>2.9823682340491299E-3</v>
      </c>
      <c r="N8">
        <v>2.07451444176446E-2</v>
      </c>
      <c r="O8">
        <v>2.6874626075283101E-2</v>
      </c>
      <c r="P8">
        <v>7.3640007994224396E-3</v>
      </c>
      <c r="Q8">
        <v>2.0274655258320999E-2</v>
      </c>
      <c r="R8">
        <v>1.23857247860528E-2</v>
      </c>
      <c r="S8">
        <v>1.2077454205240101E-2</v>
      </c>
      <c r="T8">
        <v>9.9481686089188505E-4</v>
      </c>
      <c r="U8">
        <v>1.55878731248536E-2</v>
      </c>
      <c r="V8">
        <v>2.45140992663017E-2</v>
      </c>
      <c r="W8">
        <v>2.9623537853167899E-2</v>
      </c>
      <c r="X8">
        <v>1.4830701444402201E-2</v>
      </c>
      <c r="Y8">
        <v>2.23026840434827E-2</v>
      </c>
    </row>
    <row r="9" spans="1:25" x14ac:dyDescent="0.35">
      <c r="A9" t="s">
        <v>32</v>
      </c>
      <c r="B9">
        <v>1.9564519122841201E-2</v>
      </c>
      <c r="C9">
        <v>3.7357561472166997E-2</v>
      </c>
      <c r="D9">
        <v>4.6545803300201402E-4</v>
      </c>
      <c r="E9">
        <v>3.1928254316729902E-3</v>
      </c>
      <c r="F9">
        <v>3.8596742956675902E-2</v>
      </c>
      <c r="G9">
        <v>3.7136264958577002E-3</v>
      </c>
      <c r="H9">
        <v>1.10217652936648E-2</v>
      </c>
      <c r="I9">
        <v>4.15824404449514E-2</v>
      </c>
      <c r="J9">
        <v>3.04580652056037E-2</v>
      </c>
      <c r="K9">
        <v>3.4366393184761E-2</v>
      </c>
      <c r="L9">
        <v>9.03431596032701E-3</v>
      </c>
      <c r="M9">
        <v>1.0688728586178401E-2</v>
      </c>
      <c r="N9">
        <v>1.9661472266190999E-2</v>
      </c>
      <c r="O9">
        <v>3.5210863727003897E-2</v>
      </c>
      <c r="P9">
        <v>7.3473979442826801E-3</v>
      </c>
      <c r="Q9">
        <v>2.1284865939045099E-2</v>
      </c>
      <c r="R9">
        <v>1.76307185240916E-2</v>
      </c>
      <c r="S9">
        <v>2.9738030965930202E-3</v>
      </c>
      <c r="T9">
        <v>5.3896803449205095E-4</v>
      </c>
      <c r="U9">
        <v>1.6701581706901499E-2</v>
      </c>
      <c r="V9">
        <v>3.2241485882999799E-2</v>
      </c>
      <c r="W9">
        <v>2.8608014470375399E-2</v>
      </c>
      <c r="X9">
        <v>2.0288141317988902E-2</v>
      </c>
      <c r="Y9">
        <v>1.1252563918945999E-2</v>
      </c>
    </row>
    <row r="10" spans="1:25" x14ac:dyDescent="0.35">
      <c r="A10" t="s">
        <v>33</v>
      </c>
      <c r="B10">
        <v>1.7398096944456699E-2</v>
      </c>
      <c r="C10">
        <v>2.6760741189653301E-2</v>
      </c>
      <c r="D10">
        <v>3.9914258834610403E-3</v>
      </c>
      <c r="E10">
        <v>1.5600848396551801E-2</v>
      </c>
      <c r="F10">
        <v>2.7857640401466401E-2</v>
      </c>
      <c r="G10">
        <v>1.9444364446382901E-3</v>
      </c>
      <c r="H10">
        <v>2.47631914778065E-3</v>
      </c>
      <c r="I10">
        <v>3.3258136706169297E-2</v>
      </c>
      <c r="J10">
        <v>2.8127120833532301E-2</v>
      </c>
      <c r="K10">
        <v>2.7614076707994799E-2</v>
      </c>
      <c r="L10">
        <v>1.34684329382518E-2</v>
      </c>
      <c r="M10">
        <v>1.3306838158808801E-2</v>
      </c>
      <c r="N10">
        <v>2.64048867720338E-2</v>
      </c>
      <c r="O10">
        <v>2.4628787886643199E-2</v>
      </c>
      <c r="P10">
        <v>1.6719735473815001E-2</v>
      </c>
      <c r="Q10">
        <v>1.7751830862114699E-2</v>
      </c>
      <c r="R10">
        <v>2.1055143611125999E-2</v>
      </c>
      <c r="S10">
        <v>6.6764083035722099E-3</v>
      </c>
      <c r="T10">
        <v>3.33679755110261E-3</v>
      </c>
      <c r="U10">
        <v>1.2944039429418699E-2</v>
      </c>
      <c r="V10">
        <v>3.25571435930904E-2</v>
      </c>
      <c r="W10">
        <v>2.45358828038535E-2</v>
      </c>
      <c r="X10">
        <v>2.40690154947544E-2</v>
      </c>
      <c r="Y10">
        <v>1.6637290258351901E-2</v>
      </c>
    </row>
    <row r="11" spans="1:25" x14ac:dyDescent="0.35">
      <c r="A11" t="s">
        <v>34</v>
      </c>
      <c r="B11">
        <v>1.05520311795741E-2</v>
      </c>
      <c r="C11">
        <v>3.5213211627032101E-2</v>
      </c>
      <c r="D11">
        <v>8.4413063696285196E-3</v>
      </c>
      <c r="E11">
        <v>2.6405957067173701E-2</v>
      </c>
      <c r="F11">
        <v>3.2851500225716902E-2</v>
      </c>
      <c r="G11">
        <v>1.0228365868507399E-2</v>
      </c>
      <c r="H11">
        <v>2.6991606480006699E-2</v>
      </c>
      <c r="I11">
        <v>1.2644117473578799E-2</v>
      </c>
      <c r="J11">
        <v>1.5988742821454099E-2</v>
      </c>
      <c r="K11">
        <v>3.4446262136784603E-2</v>
      </c>
      <c r="L11">
        <v>2.0430274725316701E-2</v>
      </c>
      <c r="M11">
        <v>1.3326568941932E-2</v>
      </c>
      <c r="N11">
        <v>2.9260608784261701E-2</v>
      </c>
      <c r="O11">
        <v>3.4470377362546198E-2</v>
      </c>
      <c r="P11">
        <v>5.8272618828661997E-3</v>
      </c>
      <c r="Q11">
        <v>1.1454268977217699E-2</v>
      </c>
      <c r="R11">
        <v>1.7676934188662501E-2</v>
      </c>
      <c r="S11">
        <v>3.0640365873998302E-3</v>
      </c>
      <c r="T11">
        <v>5.2223305713087597E-3</v>
      </c>
      <c r="U11">
        <v>1.13661954410396E-2</v>
      </c>
      <c r="V11">
        <v>2.7029241880811999E-2</v>
      </c>
      <c r="W11">
        <v>3.7831615276901098E-2</v>
      </c>
      <c r="X11">
        <v>3.3951141831884302E-2</v>
      </c>
      <c r="Y11">
        <v>2.27990942258913E-3</v>
      </c>
    </row>
    <row r="12" spans="1:25" x14ac:dyDescent="0.35">
      <c r="A12" t="s">
        <v>35</v>
      </c>
      <c r="B12">
        <v>2.4435979162987301E-2</v>
      </c>
      <c r="C12">
        <v>2.2786382719126901E-2</v>
      </c>
      <c r="D12">
        <v>5.7701102059081197E-3</v>
      </c>
      <c r="E12">
        <v>3.4161160821830003E-2</v>
      </c>
      <c r="F12">
        <v>2.93647276687398E-2</v>
      </c>
      <c r="G12">
        <v>1.1521131712678901E-2</v>
      </c>
      <c r="H12">
        <v>2.5086003973492699E-2</v>
      </c>
      <c r="I12">
        <v>9.5488080153631699E-4</v>
      </c>
      <c r="J12">
        <v>9.8539562313334095E-3</v>
      </c>
      <c r="K12">
        <v>2.7184663037153101E-2</v>
      </c>
      <c r="L12">
        <v>1.7748490973558299E-2</v>
      </c>
      <c r="M12">
        <v>5.9633308772710199E-3</v>
      </c>
      <c r="N12">
        <v>2.52106221619312E-2</v>
      </c>
      <c r="O12">
        <v>2.1718408561387601E-2</v>
      </c>
      <c r="P12">
        <v>2.3550415593312801E-3</v>
      </c>
      <c r="Q12">
        <v>9.0507046671715503E-3</v>
      </c>
      <c r="R12">
        <v>9.5633805357489207E-3</v>
      </c>
      <c r="S12">
        <v>3.88365575004304E-3</v>
      </c>
      <c r="T12">
        <v>1.2379581637766901E-2</v>
      </c>
      <c r="U12">
        <v>3.7372190601045702E-3</v>
      </c>
      <c r="V12">
        <v>2.6217076880474099E-2</v>
      </c>
      <c r="W12">
        <v>4.2921113893017497E-2</v>
      </c>
      <c r="X12">
        <v>3.3426731594912898E-2</v>
      </c>
      <c r="Y12">
        <v>9.6330886000102998E-3</v>
      </c>
    </row>
    <row r="13" spans="1:25" x14ac:dyDescent="0.35">
      <c r="A13" t="s">
        <v>36</v>
      </c>
      <c r="B13">
        <v>4.3248653580665796E-3</v>
      </c>
      <c r="C13">
        <v>3.8648050430002898E-2</v>
      </c>
      <c r="D13">
        <v>1.1186630277329799E-2</v>
      </c>
      <c r="E13">
        <v>1.9844333500334599E-2</v>
      </c>
      <c r="F13">
        <v>3.5318859384832098E-2</v>
      </c>
      <c r="G13">
        <v>1.0184044381452101E-2</v>
      </c>
      <c r="H13">
        <v>2.54455651601159E-2</v>
      </c>
      <c r="I13">
        <v>1.71431979966273E-2</v>
      </c>
      <c r="J13">
        <v>1.8872713570788398E-2</v>
      </c>
      <c r="K13">
        <v>3.8805990275059897E-2</v>
      </c>
      <c r="L13">
        <v>2.3660156637428501E-2</v>
      </c>
      <c r="M13">
        <v>1.9729225498865102E-2</v>
      </c>
      <c r="N13">
        <v>3.15859969350714E-2</v>
      </c>
      <c r="O13">
        <v>3.7788677445796198E-2</v>
      </c>
      <c r="P13">
        <v>1.1295276866920501E-2</v>
      </c>
      <c r="Q13">
        <v>1.30695910592117E-2</v>
      </c>
      <c r="R13">
        <v>2.3035342568157102E-2</v>
      </c>
      <c r="S13">
        <v>3.9365588108304199E-3</v>
      </c>
      <c r="T13">
        <v>7.5235866478138803E-3</v>
      </c>
      <c r="U13">
        <v>1.12263984228738E-2</v>
      </c>
      <c r="V13">
        <v>3.0694195743979101E-2</v>
      </c>
      <c r="W13">
        <v>3.90556593061369E-2</v>
      </c>
      <c r="X13">
        <v>3.8997137228263902E-2</v>
      </c>
      <c r="Y13">
        <v>4.95168316099567E-3</v>
      </c>
    </row>
    <row r="14" spans="1:25" x14ac:dyDescent="0.35">
      <c r="A14" t="s">
        <v>37</v>
      </c>
      <c r="B14">
        <v>5.2579342053137197E-3</v>
      </c>
      <c r="C14">
        <v>3.7668794874319997E-2</v>
      </c>
      <c r="D14">
        <v>8.9022213810909107E-3</v>
      </c>
      <c r="E14">
        <v>4.8067787177839599E-4</v>
      </c>
      <c r="F14">
        <v>3.4234587300125303E-2</v>
      </c>
      <c r="G14">
        <v>2.0759322359554199E-2</v>
      </c>
      <c r="H14">
        <v>1.13286189928541E-2</v>
      </c>
      <c r="I14">
        <v>1.59708959888719E-2</v>
      </c>
      <c r="J14">
        <v>1.61216278669827E-2</v>
      </c>
      <c r="K14">
        <v>2.9668307014408701E-2</v>
      </c>
      <c r="L14">
        <v>9.7667231444184908E-3</v>
      </c>
      <c r="M14">
        <v>1.62558141959613E-2</v>
      </c>
      <c r="N14">
        <v>1.9637420321642202E-2</v>
      </c>
      <c r="O14">
        <v>3.4463682155870701E-2</v>
      </c>
      <c r="P14">
        <v>2.6493379592823999E-2</v>
      </c>
      <c r="Q14">
        <v>1.62974703958624E-2</v>
      </c>
      <c r="R14">
        <v>2.0559459061686401E-2</v>
      </c>
      <c r="S14">
        <v>1.47653072785813E-2</v>
      </c>
      <c r="T14">
        <v>1.20041849001763E-3</v>
      </c>
      <c r="U14">
        <v>9.5935878803790897E-3</v>
      </c>
      <c r="V14">
        <v>1.8480171870224198E-2</v>
      </c>
      <c r="W14">
        <v>2.3101594122973901E-2</v>
      </c>
      <c r="X14">
        <v>2.3545894037254201E-2</v>
      </c>
      <c r="Y14">
        <v>1.24151280479131E-2</v>
      </c>
    </row>
    <row r="15" spans="1:25" x14ac:dyDescent="0.35">
      <c r="A15" t="s">
        <v>38</v>
      </c>
      <c r="B15">
        <v>1.6414793555975998E-2</v>
      </c>
      <c r="C15">
        <v>3.9260135991786002E-2</v>
      </c>
      <c r="D15">
        <v>2.5793688356332199E-2</v>
      </c>
      <c r="E15">
        <v>2.9779723057187801E-2</v>
      </c>
      <c r="F15">
        <v>2.8209498701580599E-2</v>
      </c>
      <c r="G15">
        <v>1.86522564814205E-2</v>
      </c>
      <c r="H15">
        <v>7.6746287355094001E-3</v>
      </c>
      <c r="I15">
        <v>1.9342047453144801E-2</v>
      </c>
      <c r="J15">
        <v>4.53453889353985E-3</v>
      </c>
      <c r="K15">
        <v>4.2203013096047001E-2</v>
      </c>
      <c r="L15">
        <v>1.3667453187162001E-2</v>
      </c>
      <c r="M15">
        <v>7.8593813198630097E-3</v>
      </c>
      <c r="N15">
        <v>2.3896215637267199E-2</v>
      </c>
      <c r="O15">
        <v>3.4869992777752497E-2</v>
      </c>
      <c r="P15">
        <v>4.6554745142667704E-3</v>
      </c>
      <c r="Q15">
        <v>5.1092185577114504E-3</v>
      </c>
      <c r="R15">
        <v>2.5581359362377099E-2</v>
      </c>
      <c r="S15">
        <v>2.3304483162906699E-2</v>
      </c>
      <c r="T15">
        <v>2.4907352978106902E-2</v>
      </c>
      <c r="U15">
        <v>2.4901169859597601E-3</v>
      </c>
      <c r="V15">
        <v>1.03098550102766E-3</v>
      </c>
      <c r="W15">
        <v>4.2323739859857601E-2</v>
      </c>
      <c r="X15">
        <v>3.5368273107891902E-2</v>
      </c>
      <c r="Y15">
        <v>3.0545530751935001E-3</v>
      </c>
    </row>
    <row r="16" spans="1:25" x14ac:dyDescent="0.35">
      <c r="A16" t="s">
        <v>39</v>
      </c>
      <c r="B16">
        <v>6.8256067354214899E-3</v>
      </c>
      <c r="C16">
        <v>3.8098185534826502E-2</v>
      </c>
      <c r="D16">
        <v>1.6098941211861E-2</v>
      </c>
      <c r="E16" s="1">
        <v>2.33319454458079E-5</v>
      </c>
      <c r="F16">
        <v>2.82425168642811E-2</v>
      </c>
      <c r="G16">
        <v>2.5737804893162901E-2</v>
      </c>
      <c r="H16">
        <v>9.9811144655442604E-3</v>
      </c>
      <c r="I16">
        <v>1.18738908520125E-2</v>
      </c>
      <c r="J16">
        <v>1.3049465712349001E-2</v>
      </c>
      <c r="K16">
        <v>2.69812798284212E-2</v>
      </c>
      <c r="L16">
        <v>1.7162162560444599E-2</v>
      </c>
      <c r="M16">
        <v>2.0782080876517599E-2</v>
      </c>
      <c r="N16">
        <v>1.78260818025937E-2</v>
      </c>
      <c r="O16">
        <v>3.4755106517552099E-2</v>
      </c>
      <c r="P16">
        <v>3.2362186435838602E-2</v>
      </c>
      <c r="Q16">
        <v>1.2805663361175499E-2</v>
      </c>
      <c r="R16">
        <v>2.6108470837921501E-2</v>
      </c>
      <c r="S16">
        <v>1.5085155869632799E-2</v>
      </c>
      <c r="T16">
        <v>1.8340857082436699E-3</v>
      </c>
      <c r="U16">
        <v>4.6353713507537603E-3</v>
      </c>
      <c r="V16">
        <v>1.67849831565791E-2</v>
      </c>
      <c r="W16">
        <v>2.27243720651473E-2</v>
      </c>
      <c r="X16">
        <v>3.0751398458005098E-2</v>
      </c>
      <c r="Y16">
        <v>5.4527814097753502E-3</v>
      </c>
    </row>
    <row r="17" spans="1:25" x14ac:dyDescent="0.35">
      <c r="A17" t="s">
        <v>40</v>
      </c>
      <c r="B17">
        <v>1.9499849185396299E-2</v>
      </c>
      <c r="C17">
        <v>2.72991545782756E-2</v>
      </c>
      <c r="D17">
        <v>4.2258584229682801E-3</v>
      </c>
      <c r="E17">
        <v>1.72366449707167E-2</v>
      </c>
      <c r="F17">
        <v>2.8391829075529101E-2</v>
      </c>
      <c r="G17">
        <v>5.2497630569826902E-4</v>
      </c>
      <c r="H17">
        <v>1.8532842428502E-3</v>
      </c>
      <c r="I17">
        <v>3.3831148996664902E-2</v>
      </c>
      <c r="J17">
        <v>2.90863477012402E-2</v>
      </c>
      <c r="K17">
        <v>2.93152483874549E-2</v>
      </c>
      <c r="L17">
        <v>1.26015649634908E-2</v>
      </c>
      <c r="M17">
        <v>1.29781516870437E-2</v>
      </c>
      <c r="N17">
        <v>2.4837481914029801E-2</v>
      </c>
      <c r="O17">
        <v>2.49569424664004E-2</v>
      </c>
      <c r="P17">
        <v>1.50950657830761E-2</v>
      </c>
      <c r="Q17">
        <v>1.8010330685632299E-2</v>
      </c>
      <c r="R17">
        <v>2.0555512824679899E-2</v>
      </c>
      <c r="S17">
        <v>7.3978258513377002E-3</v>
      </c>
      <c r="T17">
        <v>1.5689017066823801E-3</v>
      </c>
      <c r="U17">
        <v>1.24845155700974E-2</v>
      </c>
      <c r="V17">
        <v>3.2237989793721097E-2</v>
      </c>
      <c r="W17">
        <v>2.6878280285752801E-2</v>
      </c>
      <c r="X17">
        <v>2.4487851772184099E-2</v>
      </c>
      <c r="Y17">
        <v>1.8453970077431301E-2</v>
      </c>
    </row>
    <row r="18" spans="1:25" x14ac:dyDescent="0.35">
      <c r="A18" t="s">
        <v>41</v>
      </c>
      <c r="B18">
        <v>4.20533999925915E-3</v>
      </c>
      <c r="C18">
        <v>4.5093243168079097E-2</v>
      </c>
      <c r="D18">
        <v>1.8449057317323801E-2</v>
      </c>
      <c r="E18">
        <v>1.42363692908335E-2</v>
      </c>
      <c r="F18">
        <v>4.19890723339136E-2</v>
      </c>
      <c r="G18">
        <v>1.0118123797006001E-2</v>
      </c>
      <c r="H18">
        <v>1.9840639248587501E-2</v>
      </c>
      <c r="I18">
        <v>1.2455381795790799E-2</v>
      </c>
      <c r="J18">
        <v>1.9930289927272499E-2</v>
      </c>
      <c r="K18">
        <v>4.5119042193624399E-2</v>
      </c>
      <c r="L18">
        <v>1.76692776974136E-2</v>
      </c>
      <c r="M18">
        <v>1.2860075840455299E-2</v>
      </c>
      <c r="N18">
        <v>3.3060045289781001E-2</v>
      </c>
      <c r="O18">
        <v>4.0658491413882697E-2</v>
      </c>
      <c r="P18">
        <v>7.7119409865381901E-3</v>
      </c>
      <c r="Q18">
        <v>9.9555915782343195E-3</v>
      </c>
      <c r="R18">
        <v>2.5626558364617399E-2</v>
      </c>
      <c r="S18">
        <v>2.1189543429456802E-2</v>
      </c>
      <c r="T18">
        <v>6.7247541437470398E-3</v>
      </c>
      <c r="U18">
        <v>5.8084828512394602E-3</v>
      </c>
      <c r="V18">
        <v>2.0263936896158099E-2</v>
      </c>
      <c r="W18">
        <v>4.47459206207034E-2</v>
      </c>
      <c r="X18">
        <v>3.6300945365132099E-2</v>
      </c>
      <c r="Y18">
        <v>5.2056563484277401E-3</v>
      </c>
    </row>
    <row r="19" spans="1:25" x14ac:dyDescent="0.35">
      <c r="A19" t="s">
        <v>42</v>
      </c>
      <c r="B19">
        <v>1.6596771494708298E-2</v>
      </c>
      <c r="C19">
        <v>2.4950086911814901E-2</v>
      </c>
      <c r="D19">
        <v>8.1816718784372502E-4</v>
      </c>
      <c r="E19">
        <v>1.36827531862239E-2</v>
      </c>
      <c r="F19">
        <v>2.8839694327858802E-2</v>
      </c>
      <c r="G19">
        <v>4.8553122281537898E-3</v>
      </c>
      <c r="H19">
        <v>3.4051195845435801E-3</v>
      </c>
      <c r="I19">
        <v>3.8548920498814698E-2</v>
      </c>
      <c r="J19">
        <v>3.1435601997345901E-2</v>
      </c>
      <c r="K19">
        <v>2.3448939454766001E-2</v>
      </c>
      <c r="L19">
        <v>1.51449386319832E-2</v>
      </c>
      <c r="M19">
        <v>1.32358036405317E-2</v>
      </c>
      <c r="N19">
        <v>2.6491219656741401E-2</v>
      </c>
      <c r="O19">
        <v>2.30590665657554E-2</v>
      </c>
      <c r="P19">
        <v>1.77679588728131E-2</v>
      </c>
      <c r="Q19">
        <v>1.8788929927038199E-2</v>
      </c>
      <c r="R19">
        <v>1.99722911243445E-2</v>
      </c>
      <c r="S19">
        <v>4.3642058290161304E-3</v>
      </c>
      <c r="T19">
        <v>5.46726506812648E-3</v>
      </c>
      <c r="U19">
        <v>1.36511436425051E-2</v>
      </c>
      <c r="V19">
        <v>3.6843782889921697E-2</v>
      </c>
      <c r="W19">
        <v>2.24272949070221E-2</v>
      </c>
      <c r="X19">
        <v>2.3770596062132901E-2</v>
      </c>
      <c r="Y19">
        <v>1.6792482482813498E-2</v>
      </c>
    </row>
    <row r="20" spans="1:25" x14ac:dyDescent="0.35">
      <c r="A20" t="s">
        <v>43</v>
      </c>
      <c r="B20">
        <v>6.6967602108103999E-3</v>
      </c>
      <c r="C20">
        <v>4.2558735083265103E-2</v>
      </c>
      <c r="D20">
        <v>1.4476725343612599E-2</v>
      </c>
      <c r="E20">
        <v>1.8763055506310099E-2</v>
      </c>
      <c r="F20">
        <v>4.0289361369287298E-2</v>
      </c>
      <c r="G20">
        <v>1.04911409369455E-2</v>
      </c>
      <c r="H20">
        <v>2.1181267177779399E-2</v>
      </c>
      <c r="I20">
        <v>1.2581754839042499E-2</v>
      </c>
      <c r="J20">
        <v>1.6951810815319501E-2</v>
      </c>
      <c r="K20">
        <v>4.4812873556664398E-2</v>
      </c>
      <c r="L20">
        <v>1.92663615344255E-2</v>
      </c>
      <c r="M20">
        <v>1.64770755125172E-2</v>
      </c>
      <c r="N20">
        <v>3.5020574168861403E-2</v>
      </c>
      <c r="O20">
        <v>4.0625944273960303E-2</v>
      </c>
      <c r="P20">
        <v>8.9286059120793401E-3</v>
      </c>
      <c r="Q20">
        <v>1.3327299391879901E-2</v>
      </c>
      <c r="R20">
        <v>2.4419615869663999E-2</v>
      </c>
      <c r="S20">
        <v>9.5465153336833E-3</v>
      </c>
      <c r="T20">
        <v>9.3443587736514108E-3</v>
      </c>
      <c r="U20">
        <v>1.0424574225814401E-2</v>
      </c>
      <c r="V20">
        <v>2.81133513255209E-2</v>
      </c>
      <c r="W20">
        <v>4.3873588630800001E-2</v>
      </c>
      <c r="X20">
        <v>3.7692769794963499E-2</v>
      </c>
      <c r="Y20">
        <v>8.0441373011346795E-3</v>
      </c>
    </row>
    <row r="21" spans="1:25" x14ac:dyDescent="0.35">
      <c r="A21" t="s">
        <v>44</v>
      </c>
      <c r="B21">
        <v>8.2726815844030195E-3</v>
      </c>
      <c r="C21">
        <v>3.7695228457156602E-2</v>
      </c>
      <c r="D21">
        <v>1.31538601427447E-2</v>
      </c>
      <c r="E21">
        <v>1.9010004349231401E-2</v>
      </c>
      <c r="F21">
        <v>3.7260856181219403E-2</v>
      </c>
      <c r="G21">
        <v>1.0923281420001299E-2</v>
      </c>
      <c r="H21">
        <v>2.26449538494983E-2</v>
      </c>
      <c r="I21">
        <v>1.1933735098501E-2</v>
      </c>
      <c r="J21">
        <v>1.7076845380130701E-2</v>
      </c>
      <c r="K21">
        <v>4.1183007630852003E-2</v>
      </c>
      <c r="L21">
        <v>2.2603837525421899E-2</v>
      </c>
      <c r="M21">
        <v>1.8790370457283899E-2</v>
      </c>
      <c r="N21">
        <v>3.4306499720798203E-2</v>
      </c>
      <c r="O21">
        <v>3.6221867415163499E-2</v>
      </c>
      <c r="P21">
        <v>1.04294925634748E-2</v>
      </c>
      <c r="Q21">
        <v>1.3334763613697001E-2</v>
      </c>
      <c r="R21">
        <v>2.34559822393232E-2</v>
      </c>
      <c r="S21">
        <v>6.8624832358209799E-3</v>
      </c>
      <c r="T21">
        <v>1.1120045638966699E-2</v>
      </c>
      <c r="U21">
        <v>8.5152049507715207E-3</v>
      </c>
      <c r="V21">
        <v>3.2339167676820497E-2</v>
      </c>
      <c r="W21">
        <v>4.4188974726473297E-2</v>
      </c>
      <c r="X21">
        <v>4.1226798461872799E-2</v>
      </c>
      <c r="Y21">
        <v>1.02864664782933E-2</v>
      </c>
    </row>
    <row r="22" spans="1:25" x14ac:dyDescent="0.35">
      <c r="A22" t="s">
        <v>45</v>
      </c>
      <c r="B22">
        <v>5.0010388838881504E-3</v>
      </c>
      <c r="C22">
        <v>3.90947589877177E-2</v>
      </c>
      <c r="D22">
        <v>1.1566461515645899E-2</v>
      </c>
      <c r="E22">
        <v>2.0335792240853301E-2</v>
      </c>
      <c r="F22">
        <v>3.6060216952016798E-2</v>
      </c>
      <c r="G22">
        <v>1.0452640651393201E-2</v>
      </c>
      <c r="H22">
        <v>2.50007713196909E-2</v>
      </c>
      <c r="I22">
        <v>1.63011554913133E-2</v>
      </c>
      <c r="J22">
        <v>1.8300183037517102E-2</v>
      </c>
      <c r="K22">
        <v>3.9331254476497698E-2</v>
      </c>
      <c r="L22">
        <v>2.3114160995400399E-2</v>
      </c>
      <c r="M22">
        <v>1.9252219305731701E-2</v>
      </c>
      <c r="N22">
        <v>3.1815861314148403E-2</v>
      </c>
      <c r="O22">
        <v>3.8120285408505497E-2</v>
      </c>
      <c r="P22">
        <v>1.10033790507065E-2</v>
      </c>
      <c r="Q22">
        <v>1.3014956636778799E-2</v>
      </c>
      <c r="R22">
        <v>2.3276232296408898E-2</v>
      </c>
      <c r="S22">
        <v>4.7061720904869398E-3</v>
      </c>
      <c r="T22">
        <v>7.8533344436530796E-3</v>
      </c>
      <c r="U22">
        <v>1.0999938164391701E-2</v>
      </c>
      <c r="V22">
        <v>2.9873576514467801E-2</v>
      </c>
      <c r="W22">
        <v>3.9234759606584603E-2</v>
      </c>
      <c r="X22">
        <v>3.8611992930688302E-2</v>
      </c>
      <c r="Y22">
        <v>4.9198361673735902E-3</v>
      </c>
    </row>
    <row r="23" spans="1:25" x14ac:dyDescent="0.35">
      <c r="A23" t="s">
        <v>46</v>
      </c>
      <c r="B23">
        <v>1.9556582961664799E-2</v>
      </c>
      <c r="C23">
        <v>3.0205305196016101E-2</v>
      </c>
      <c r="D23">
        <v>2.0952315930891198E-3</v>
      </c>
      <c r="E23">
        <v>1.21480662655001E-2</v>
      </c>
      <c r="F23">
        <v>2.5550936739686898E-2</v>
      </c>
      <c r="G23">
        <v>2.1122826034034401E-3</v>
      </c>
      <c r="H23">
        <v>6.5056249505218103E-3</v>
      </c>
      <c r="I23">
        <v>3.2627931287401102E-2</v>
      </c>
      <c r="J23">
        <v>2.8821205260415001E-2</v>
      </c>
      <c r="K23">
        <v>2.71065835841784E-2</v>
      </c>
      <c r="L23">
        <v>3.5508103530935398E-3</v>
      </c>
      <c r="M23">
        <v>7.5170635043399197E-3</v>
      </c>
      <c r="N23">
        <v>1.6642321753037901E-2</v>
      </c>
      <c r="O23">
        <v>2.8829298683889799E-2</v>
      </c>
      <c r="P23">
        <v>1.3106357466991901E-2</v>
      </c>
      <c r="Q23">
        <v>1.7568072890212099E-2</v>
      </c>
      <c r="R23">
        <v>1.24430440526326E-2</v>
      </c>
      <c r="S23">
        <v>7.98675993580906E-3</v>
      </c>
      <c r="T23">
        <v>8.4521007894955008E-3</v>
      </c>
      <c r="U23">
        <v>2.0596960882492899E-2</v>
      </c>
      <c r="V23">
        <v>1.5894825295763301E-2</v>
      </c>
      <c r="W23">
        <v>1.78794677857529E-2</v>
      </c>
      <c r="X23">
        <v>1.02563315768906E-2</v>
      </c>
      <c r="Y23">
        <v>1.42727980443979E-2</v>
      </c>
    </row>
    <row r="24" spans="1:25" x14ac:dyDescent="0.35">
      <c r="A24" t="s">
        <v>47</v>
      </c>
      <c r="B24">
        <v>1.09346366291569E-2</v>
      </c>
      <c r="C24">
        <v>2.8567559157621401E-2</v>
      </c>
      <c r="D24">
        <v>3.9129406658508304E-3</v>
      </c>
      <c r="E24">
        <v>1.7644795289216799E-3</v>
      </c>
      <c r="F24">
        <v>2.6928364310827398E-2</v>
      </c>
      <c r="G24">
        <v>4.59629789431779E-3</v>
      </c>
      <c r="H24">
        <v>1.6343187323699899E-2</v>
      </c>
      <c r="I24">
        <v>3.1232967414074699E-2</v>
      </c>
      <c r="J24">
        <v>2.8005574503340701E-2</v>
      </c>
      <c r="K24">
        <v>2.4391761387560201E-2</v>
      </c>
      <c r="L24">
        <v>1.1169163860813699E-2</v>
      </c>
      <c r="M24">
        <v>1.49372216668057E-2</v>
      </c>
      <c r="N24">
        <v>1.8668046567342202E-2</v>
      </c>
      <c r="O24">
        <v>2.8234245315636699E-2</v>
      </c>
      <c r="P24">
        <v>1.8182404798855901E-2</v>
      </c>
      <c r="Q24">
        <v>1.89921413063458E-2</v>
      </c>
      <c r="R24">
        <v>1.2460069232375101E-2</v>
      </c>
      <c r="S24">
        <v>2.892680805272E-3</v>
      </c>
      <c r="T24">
        <v>5.0042615126989903E-3</v>
      </c>
      <c r="U24">
        <v>1.9037604076828502E-2</v>
      </c>
      <c r="V24">
        <v>2.4969723323913201E-2</v>
      </c>
      <c r="W24">
        <v>1.9422173627246998E-2</v>
      </c>
      <c r="X24">
        <v>1.8569488975626301E-2</v>
      </c>
      <c r="Y24">
        <v>1.42032969165292E-2</v>
      </c>
    </row>
    <row r="25" spans="1:25" x14ac:dyDescent="0.35">
      <c r="A25" t="s">
        <v>48</v>
      </c>
      <c r="B25">
        <v>2.7337851046438901E-2</v>
      </c>
      <c r="C25">
        <v>3.29919749686843E-2</v>
      </c>
      <c r="D25">
        <v>3.41530848765118E-3</v>
      </c>
      <c r="E25">
        <v>1.91713785233187E-2</v>
      </c>
      <c r="F25">
        <v>2.07800015552922E-2</v>
      </c>
      <c r="G25">
        <v>3.6101493657045699E-3</v>
      </c>
      <c r="H25">
        <v>8.8095975836432992E-3</v>
      </c>
      <c r="I25">
        <v>3.7354586575921403E-2</v>
      </c>
      <c r="J25">
        <v>2.95589824650003E-2</v>
      </c>
      <c r="K25">
        <v>2.8754670587560399E-2</v>
      </c>
      <c r="L25">
        <v>1.1615486040633701E-2</v>
      </c>
      <c r="M25">
        <v>1.5803685158785202E-2</v>
      </c>
      <c r="N25">
        <v>2.14880472551181E-2</v>
      </c>
      <c r="O25">
        <v>3.2107634871234102E-2</v>
      </c>
      <c r="P25">
        <v>1.9202503997286801E-2</v>
      </c>
      <c r="Q25">
        <v>1.6061608349972601E-2</v>
      </c>
      <c r="R25">
        <v>1.97752274708928E-2</v>
      </c>
      <c r="S25">
        <v>4.3112504160798398E-3</v>
      </c>
      <c r="T25">
        <v>1.2236387406382301E-2</v>
      </c>
      <c r="U25">
        <v>2.0168090884250301E-2</v>
      </c>
      <c r="V25">
        <v>2.2350666921836501E-2</v>
      </c>
      <c r="W25">
        <v>1.6103384065432401E-2</v>
      </c>
      <c r="X25">
        <v>1.8002609991987099E-2</v>
      </c>
      <c r="Y25">
        <v>6.3226234382149204E-3</v>
      </c>
    </row>
    <row r="26" spans="1:25" x14ac:dyDescent="0.35">
      <c r="A26" t="s">
        <v>49</v>
      </c>
      <c r="B26">
        <v>9.3105188868729399E-3</v>
      </c>
      <c r="C26">
        <v>4.0202828085372101E-2</v>
      </c>
      <c r="D26">
        <v>1.05489136995464E-2</v>
      </c>
      <c r="E26">
        <v>2.37542140108555E-2</v>
      </c>
      <c r="F26">
        <v>3.9781188542299603E-2</v>
      </c>
      <c r="G26">
        <v>8.5607879137969498E-3</v>
      </c>
      <c r="H26">
        <v>2.20312593987711E-2</v>
      </c>
      <c r="I26">
        <v>9.8599851251193991E-3</v>
      </c>
      <c r="J26">
        <v>1.3627640650341199E-2</v>
      </c>
      <c r="K26">
        <v>4.3567022622583398E-2</v>
      </c>
      <c r="L26">
        <v>1.6377511427041899E-2</v>
      </c>
      <c r="M26">
        <v>1.40262443461897E-2</v>
      </c>
      <c r="N26">
        <v>3.1528452192601399E-2</v>
      </c>
      <c r="O26">
        <v>3.91186879826056E-2</v>
      </c>
      <c r="P26">
        <v>6.7046170903475996E-3</v>
      </c>
      <c r="Q26">
        <v>1.5145857961503599E-2</v>
      </c>
      <c r="R26">
        <v>2.1549907749316401E-2</v>
      </c>
      <c r="S26">
        <v>6.5019301012481196E-3</v>
      </c>
      <c r="T26">
        <v>1.13090248591338E-2</v>
      </c>
      <c r="U26">
        <v>1.2903120836286201E-2</v>
      </c>
      <c r="V26">
        <v>2.48897491673006E-2</v>
      </c>
      <c r="W26">
        <v>4.1548947713517997E-2</v>
      </c>
      <c r="X26">
        <v>3.3573575426808201E-2</v>
      </c>
      <c r="Y26">
        <v>9.0261124767683793E-3</v>
      </c>
    </row>
    <row r="27" spans="1:25" x14ac:dyDescent="0.35">
      <c r="A27" t="s">
        <v>50</v>
      </c>
      <c r="B27">
        <v>2.8526636969841099E-4</v>
      </c>
      <c r="C27">
        <v>3.7713363930942698E-2</v>
      </c>
      <c r="D27">
        <v>6.7514785898692897E-3</v>
      </c>
      <c r="E27">
        <v>1.46131286029551E-2</v>
      </c>
      <c r="F27">
        <v>3.3079677762867701E-2</v>
      </c>
      <c r="G27">
        <v>4.8791500673712697E-3</v>
      </c>
      <c r="H27">
        <v>2.3770785944397702E-2</v>
      </c>
      <c r="I27">
        <v>1.9488152147870402E-2</v>
      </c>
      <c r="J27">
        <v>1.9462487686601498E-2</v>
      </c>
      <c r="K27">
        <v>3.9635397430648797E-2</v>
      </c>
      <c r="L27">
        <v>1.8729680797321499E-2</v>
      </c>
      <c r="M27">
        <v>1.7950437854555398E-2</v>
      </c>
      <c r="N27">
        <v>2.9840997421601699E-2</v>
      </c>
      <c r="O27">
        <v>3.7607847181839502E-2</v>
      </c>
      <c r="P27">
        <v>1.1116250463289699E-2</v>
      </c>
      <c r="Q27">
        <v>1.67330390692986E-2</v>
      </c>
      <c r="R27">
        <v>1.9933848000651799E-2</v>
      </c>
      <c r="S27">
        <v>3.3908105903633802E-4</v>
      </c>
      <c r="T27">
        <v>5.42452965264915E-3</v>
      </c>
      <c r="U27">
        <v>1.7246176168441901E-2</v>
      </c>
      <c r="V27">
        <v>3.0800677530747899E-2</v>
      </c>
      <c r="W27">
        <v>3.7095745878275403E-2</v>
      </c>
      <c r="X27">
        <v>3.3699710745411803E-2</v>
      </c>
      <c r="Y27">
        <v>9.3698311324351604E-3</v>
      </c>
    </row>
    <row r="28" spans="1:25" x14ac:dyDescent="0.35">
      <c r="A28" t="s">
        <v>51</v>
      </c>
      <c r="B28">
        <v>1.01101194403359E-2</v>
      </c>
      <c r="C28">
        <v>3.8816579859927001E-2</v>
      </c>
      <c r="D28">
        <v>1.46588092250724E-2</v>
      </c>
      <c r="E28">
        <v>2.37680384617883E-2</v>
      </c>
      <c r="F28">
        <v>3.7235011211791097E-2</v>
      </c>
      <c r="G28">
        <v>1.07328664817246E-2</v>
      </c>
      <c r="H28">
        <v>2.3724187034970201E-2</v>
      </c>
      <c r="I28">
        <v>9.2731605943770293E-3</v>
      </c>
      <c r="J28">
        <v>1.3492495119090901E-2</v>
      </c>
      <c r="K28">
        <v>4.1746321786050603E-2</v>
      </c>
      <c r="L28">
        <v>2.3309645974674099E-2</v>
      </c>
      <c r="M28">
        <v>1.81387472976592E-2</v>
      </c>
      <c r="N28">
        <v>3.4266850249829402E-2</v>
      </c>
      <c r="O28">
        <v>3.7607176412884802E-2</v>
      </c>
      <c r="P28">
        <v>8.9646945182228696E-3</v>
      </c>
      <c r="Q28">
        <v>1.2090716576935501E-2</v>
      </c>
      <c r="R28">
        <v>2.5183536819098601E-2</v>
      </c>
      <c r="S28">
        <v>6.2463073358214197E-3</v>
      </c>
      <c r="T28">
        <v>1.16083525478053E-2</v>
      </c>
      <c r="U28">
        <v>8.2712317158734599E-3</v>
      </c>
      <c r="V28">
        <v>2.8958088573133801E-2</v>
      </c>
      <c r="W28">
        <v>4.2617013216827003E-2</v>
      </c>
      <c r="X28">
        <v>4.0785776349934202E-2</v>
      </c>
      <c r="Y28">
        <v>4.9863126573051701E-3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3194-B149-4E60-931C-42A26EFA5BE8}">
  <dimension ref="A1:AD51"/>
  <sheetViews>
    <sheetView tabSelected="1" zoomScale="40" zoomScaleNormal="40" workbookViewId="0">
      <selection activeCell="D26" sqref="D26"/>
    </sheetView>
  </sheetViews>
  <sheetFormatPr defaultRowHeight="14.5" x14ac:dyDescent="0.35"/>
  <cols>
    <col min="1" max="2" width="25.26953125" customWidth="1"/>
    <col min="3" max="3" width="25.26953125" bestFit="1" customWidth="1"/>
    <col min="4" max="4" width="21.6328125" bestFit="1" customWidth="1"/>
    <col min="5" max="5" width="18.26953125" bestFit="1" customWidth="1"/>
    <col min="6" max="6" width="16.453125" bestFit="1" customWidth="1"/>
    <col min="7" max="7" width="22.1796875" bestFit="1" customWidth="1"/>
    <col min="8" max="8" width="18.6328125" bestFit="1" customWidth="1"/>
    <col min="9" max="9" width="17" bestFit="1" customWidth="1"/>
    <col min="10" max="10" width="22.1796875" bestFit="1" customWidth="1"/>
    <col min="11" max="11" width="18.6328125" bestFit="1" customWidth="1"/>
    <col min="12" max="12" width="17" bestFit="1" customWidth="1"/>
    <col min="13" max="13" width="22.1796875" bestFit="1" customWidth="1"/>
    <col min="14" max="14" width="18.6328125" bestFit="1" customWidth="1"/>
    <col min="15" max="15" width="17" bestFit="1" customWidth="1"/>
    <col min="16" max="16" width="24.08984375" bestFit="1" customWidth="1"/>
    <col min="17" max="17" width="28.08984375" bestFit="1" customWidth="1"/>
    <col min="18" max="18" width="23.1796875" bestFit="1" customWidth="1"/>
    <col min="19" max="19" width="24.36328125" bestFit="1" customWidth="1"/>
    <col min="20" max="20" width="28.36328125" bestFit="1" customWidth="1"/>
    <col min="21" max="21" width="23.453125" bestFit="1" customWidth="1"/>
    <col min="22" max="22" width="39.81640625" bestFit="1" customWidth="1"/>
    <col min="23" max="23" width="56.453125" bestFit="1" customWidth="1"/>
    <col min="24" max="24" width="27.6328125" bestFit="1" customWidth="1"/>
    <col min="25" max="25" width="20.1796875" bestFit="1" customWidth="1"/>
    <col min="26" max="26" width="22.1796875" bestFit="1" customWidth="1"/>
    <col min="27" max="27" width="17" bestFit="1" customWidth="1"/>
    <col min="28" max="28" width="20.1796875" bestFit="1" customWidth="1"/>
    <col min="29" max="29" width="22.1796875" bestFit="1" customWidth="1"/>
    <col min="30" max="30" width="17" bestFit="1" customWidth="1"/>
    <col min="31" max="31" width="10.54296875" customWidth="1"/>
  </cols>
  <sheetData>
    <row r="1" spans="1:30" x14ac:dyDescent="0.35">
      <c r="A1" t="s">
        <v>53</v>
      </c>
      <c r="B1" t="s">
        <v>52</v>
      </c>
      <c r="C1" t="s">
        <v>0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86</v>
      </c>
      <c r="AD1" t="s">
        <v>85</v>
      </c>
    </row>
    <row r="2" spans="1:30" x14ac:dyDescent="0.35">
      <c r="A2" t="s">
        <v>54</v>
      </c>
      <c r="B2" t="s">
        <v>55</v>
      </c>
      <c r="C2" t="s">
        <v>1</v>
      </c>
      <c r="D2">
        <v>1.6595156889855601E-3</v>
      </c>
      <c r="E2">
        <v>6.4876711589829999E-3</v>
      </c>
      <c r="F2">
        <v>1.83829260273045E-2</v>
      </c>
      <c r="G2">
        <v>1.3376969397375401E-2</v>
      </c>
      <c r="H2">
        <v>1.46061353814724E-2</v>
      </c>
      <c r="I2">
        <v>4.3552179782125697E-3</v>
      </c>
      <c r="J2">
        <v>9.9776167270242706E-3</v>
      </c>
      <c r="K2">
        <v>1.9564519122841201E-2</v>
      </c>
      <c r="L2">
        <v>1.7398096944456699E-2</v>
      </c>
      <c r="M2">
        <v>1.05520311795741E-2</v>
      </c>
      <c r="N2">
        <v>2.4435979162987301E-2</v>
      </c>
      <c r="O2">
        <v>4.3248653580665796E-3</v>
      </c>
      <c r="P2">
        <v>5.2579342053137197E-3</v>
      </c>
      <c r="Q2">
        <v>1.6414793555975998E-2</v>
      </c>
      <c r="R2">
        <v>6.8256067354214899E-3</v>
      </c>
      <c r="S2">
        <v>1.9499849185396299E-2</v>
      </c>
      <c r="T2">
        <v>4.20533999925915E-3</v>
      </c>
      <c r="U2">
        <v>1.6596771494708298E-2</v>
      </c>
      <c r="V2">
        <v>6.6967602108103999E-3</v>
      </c>
      <c r="W2">
        <v>8.2726815844030195E-3</v>
      </c>
      <c r="X2">
        <v>5.0010388838881504E-3</v>
      </c>
      <c r="Y2">
        <v>1.9556582961664799E-2</v>
      </c>
      <c r="Z2">
        <v>1.09346366291569E-2</v>
      </c>
      <c r="AA2">
        <v>2.7337851046438901E-2</v>
      </c>
      <c r="AB2">
        <v>9.3105188868729399E-3</v>
      </c>
      <c r="AC2">
        <v>2.8526636969841099E-4</v>
      </c>
      <c r="AD2">
        <v>1.01101194403359E-2</v>
      </c>
    </row>
    <row r="3" spans="1:30" x14ac:dyDescent="0.35">
      <c r="A3" t="s">
        <v>54</v>
      </c>
      <c r="B3" t="s">
        <v>55</v>
      </c>
      <c r="C3" t="s">
        <v>8</v>
      </c>
      <c r="D3">
        <v>1.8786880673766802E-2</v>
      </c>
      <c r="E3">
        <v>2.4969920217859699E-2</v>
      </c>
      <c r="F3">
        <v>3.42537202522738E-2</v>
      </c>
      <c r="G3">
        <v>9.1980066157910396E-3</v>
      </c>
      <c r="H3">
        <v>9.8575936382100295E-3</v>
      </c>
      <c r="I3">
        <v>1.6966600245447799E-2</v>
      </c>
      <c r="J3">
        <v>3.0094897477548999E-2</v>
      </c>
      <c r="K3">
        <v>4.15824404449514E-2</v>
      </c>
      <c r="L3">
        <v>3.3258136706169297E-2</v>
      </c>
      <c r="M3">
        <v>1.2644117473578799E-2</v>
      </c>
      <c r="N3">
        <v>9.5488080153631699E-4</v>
      </c>
      <c r="O3">
        <v>1.71431979966273E-2</v>
      </c>
      <c r="P3">
        <v>1.59708959888719E-2</v>
      </c>
      <c r="Q3">
        <v>1.9342047453144801E-2</v>
      </c>
      <c r="R3">
        <v>1.18738908520125E-2</v>
      </c>
      <c r="S3">
        <v>3.3831148996664902E-2</v>
      </c>
      <c r="T3">
        <v>1.2455381795790799E-2</v>
      </c>
      <c r="U3">
        <v>3.8548920498814698E-2</v>
      </c>
      <c r="V3">
        <v>1.2581754839042499E-2</v>
      </c>
      <c r="W3">
        <v>1.1933735098501E-2</v>
      </c>
      <c r="X3">
        <v>1.63011554913133E-2</v>
      </c>
      <c r="Y3">
        <v>3.2627931287401102E-2</v>
      </c>
      <c r="Z3">
        <v>3.1232967414074699E-2</v>
      </c>
      <c r="AA3">
        <v>3.7354586575921403E-2</v>
      </c>
      <c r="AB3">
        <v>9.8599851251193991E-3</v>
      </c>
      <c r="AC3">
        <v>1.9488152147870402E-2</v>
      </c>
      <c r="AD3">
        <v>9.2731605943770293E-3</v>
      </c>
    </row>
    <row r="4" spans="1:30" x14ac:dyDescent="0.35">
      <c r="A4" t="s">
        <v>54</v>
      </c>
      <c r="B4" t="s">
        <v>55</v>
      </c>
      <c r="C4" t="s">
        <v>22</v>
      </c>
      <c r="D4">
        <v>3.4164732246172898E-2</v>
      </c>
      <c r="E4">
        <v>3.3863333081213802E-2</v>
      </c>
      <c r="F4">
        <v>2.3657857073762101E-2</v>
      </c>
      <c r="G4">
        <v>4.26645531173672E-2</v>
      </c>
      <c r="H4">
        <v>3.8979003637476799E-2</v>
      </c>
      <c r="I4">
        <v>3.8947339065556003E-2</v>
      </c>
      <c r="J4">
        <v>2.9623537853167899E-2</v>
      </c>
      <c r="K4">
        <v>2.8608014470375399E-2</v>
      </c>
      <c r="L4">
        <v>2.45358828038535E-2</v>
      </c>
      <c r="M4">
        <v>3.7831615276901098E-2</v>
      </c>
      <c r="N4">
        <v>4.2921113893017497E-2</v>
      </c>
      <c r="O4">
        <v>3.90556593061369E-2</v>
      </c>
      <c r="P4">
        <v>2.3101594122973901E-2</v>
      </c>
      <c r="Q4">
        <v>4.2323739859857601E-2</v>
      </c>
      <c r="R4">
        <v>2.27243720651473E-2</v>
      </c>
      <c r="S4">
        <v>2.6878280285752801E-2</v>
      </c>
      <c r="T4">
        <v>4.47459206207034E-2</v>
      </c>
      <c r="U4">
        <v>2.24272949070221E-2</v>
      </c>
      <c r="V4">
        <v>4.3873588630800001E-2</v>
      </c>
      <c r="W4">
        <v>4.4188974726473297E-2</v>
      </c>
      <c r="X4">
        <v>3.9234759606584603E-2</v>
      </c>
      <c r="Y4">
        <v>1.78794677857529E-2</v>
      </c>
      <c r="Z4">
        <v>1.9422173627246998E-2</v>
      </c>
      <c r="AA4">
        <v>1.6103384065432401E-2</v>
      </c>
      <c r="AB4">
        <v>4.1548947713517997E-2</v>
      </c>
      <c r="AC4">
        <v>3.7095745878275403E-2</v>
      </c>
      <c r="AD4">
        <v>4.2617013216827003E-2</v>
      </c>
    </row>
    <row r="5" spans="1:30" x14ac:dyDescent="0.35">
      <c r="A5" t="s">
        <v>54</v>
      </c>
      <c r="B5" t="s">
        <v>55</v>
      </c>
      <c r="C5" t="s">
        <v>23</v>
      </c>
      <c r="D5">
        <v>3.1055851263193299E-2</v>
      </c>
      <c r="E5">
        <v>2.96787212949985E-2</v>
      </c>
      <c r="F5">
        <v>2.3094987176762002E-2</v>
      </c>
      <c r="G5">
        <v>3.7053485664498897E-2</v>
      </c>
      <c r="H5">
        <v>3.5373505184999397E-2</v>
      </c>
      <c r="I5">
        <v>3.8764916409031701E-2</v>
      </c>
      <c r="J5">
        <v>1.4830701444402201E-2</v>
      </c>
      <c r="K5">
        <v>2.0288141317988902E-2</v>
      </c>
      <c r="L5">
        <v>2.40690154947544E-2</v>
      </c>
      <c r="M5">
        <v>3.3951141831884302E-2</v>
      </c>
      <c r="N5">
        <v>3.3426731594912898E-2</v>
      </c>
      <c r="O5">
        <v>3.8997137228263902E-2</v>
      </c>
      <c r="P5">
        <v>2.3545894037254201E-2</v>
      </c>
      <c r="Q5">
        <v>3.5368273107891902E-2</v>
      </c>
      <c r="R5">
        <v>3.0751398458005098E-2</v>
      </c>
      <c r="S5">
        <v>2.4487851772184099E-2</v>
      </c>
      <c r="T5">
        <v>3.6300945365132099E-2</v>
      </c>
      <c r="U5">
        <v>2.3770596062132901E-2</v>
      </c>
      <c r="V5">
        <v>3.7692769794963499E-2</v>
      </c>
      <c r="W5">
        <v>4.1226798461872799E-2</v>
      </c>
      <c r="X5">
        <v>3.8611992930688302E-2</v>
      </c>
      <c r="Y5">
        <v>1.02563315768906E-2</v>
      </c>
      <c r="Z5">
        <v>1.8569488975626301E-2</v>
      </c>
      <c r="AA5">
        <v>1.8002609991987099E-2</v>
      </c>
      <c r="AB5">
        <v>3.3573575426808201E-2</v>
      </c>
      <c r="AC5">
        <v>3.3699710745411803E-2</v>
      </c>
      <c r="AD5">
        <v>4.0785776349934202E-2</v>
      </c>
    </row>
    <row r="6" spans="1:30" x14ac:dyDescent="0.35">
      <c r="A6" t="s">
        <v>54</v>
      </c>
      <c r="B6" t="s">
        <v>55</v>
      </c>
      <c r="C6" t="s">
        <v>24</v>
      </c>
      <c r="D6">
        <v>1.8872599752629501E-2</v>
      </c>
      <c r="E6">
        <v>6.6996192272951198E-3</v>
      </c>
      <c r="F6">
        <v>1.6760047142065901E-2</v>
      </c>
      <c r="G6">
        <v>1.44151338287077E-2</v>
      </c>
      <c r="H6">
        <v>1.48013266736047E-2</v>
      </c>
      <c r="I6">
        <v>4.4570222019811902E-3</v>
      </c>
      <c r="J6">
        <v>2.23026840434827E-2</v>
      </c>
      <c r="K6">
        <v>1.1252563918945999E-2</v>
      </c>
      <c r="L6">
        <v>1.6637290258351901E-2</v>
      </c>
      <c r="M6">
        <v>2.27990942258913E-3</v>
      </c>
      <c r="N6">
        <v>9.6330886000102998E-3</v>
      </c>
      <c r="O6">
        <v>4.95168316099567E-3</v>
      </c>
      <c r="P6">
        <v>1.24151280479131E-2</v>
      </c>
      <c r="Q6">
        <v>3.0545530751935001E-3</v>
      </c>
      <c r="R6">
        <v>5.4527814097753502E-3</v>
      </c>
      <c r="S6">
        <v>1.8453970077431301E-2</v>
      </c>
      <c r="T6">
        <v>5.2056563484277401E-3</v>
      </c>
      <c r="U6">
        <v>1.6792482482813498E-2</v>
      </c>
      <c r="V6">
        <v>8.0441373011346795E-3</v>
      </c>
      <c r="W6">
        <v>1.02864664782933E-2</v>
      </c>
      <c r="X6">
        <v>4.9198361673735902E-3</v>
      </c>
      <c r="Y6">
        <v>1.42727980443979E-2</v>
      </c>
      <c r="Z6">
        <v>1.42032969165292E-2</v>
      </c>
      <c r="AA6">
        <v>6.3226234382149204E-3</v>
      </c>
      <c r="AB6">
        <v>9.0261124767683793E-3</v>
      </c>
      <c r="AC6">
        <v>9.3698311324351604E-3</v>
      </c>
      <c r="AD6">
        <v>4.9863126573051701E-3</v>
      </c>
    </row>
    <row r="7" spans="1:30" x14ac:dyDescent="0.35">
      <c r="A7" t="s">
        <v>54</v>
      </c>
      <c r="B7" t="s">
        <v>57</v>
      </c>
      <c r="C7" t="s">
        <v>3</v>
      </c>
      <c r="D7">
        <v>9.0075552038734394E-3</v>
      </c>
      <c r="E7">
        <v>1.0845477140523E-2</v>
      </c>
      <c r="F7">
        <v>3.5800671452332301E-3</v>
      </c>
      <c r="G7">
        <v>8.2875873405355294E-3</v>
      </c>
      <c r="H7">
        <v>5.1092228917108398E-3</v>
      </c>
      <c r="I7">
        <v>1.1245044165165001E-2</v>
      </c>
      <c r="J7">
        <v>1.6436724538655999E-3</v>
      </c>
      <c r="K7">
        <v>4.6545803300201402E-4</v>
      </c>
      <c r="L7">
        <v>3.9914258834610403E-3</v>
      </c>
      <c r="M7">
        <v>8.4413063696285196E-3</v>
      </c>
      <c r="N7">
        <v>5.7701102059081197E-3</v>
      </c>
      <c r="O7">
        <v>1.1186630277329799E-2</v>
      </c>
      <c r="P7">
        <v>8.9022213810909107E-3</v>
      </c>
      <c r="Q7">
        <v>2.5793688356332199E-2</v>
      </c>
      <c r="R7">
        <v>1.6098941211861E-2</v>
      </c>
      <c r="S7">
        <v>4.2258584229682801E-3</v>
      </c>
      <c r="T7">
        <v>1.8449057317323801E-2</v>
      </c>
      <c r="U7">
        <v>8.1816718784372502E-4</v>
      </c>
      <c r="V7">
        <v>1.4476725343612599E-2</v>
      </c>
      <c r="W7">
        <v>1.31538601427447E-2</v>
      </c>
      <c r="X7">
        <v>1.1566461515645899E-2</v>
      </c>
      <c r="Y7">
        <v>2.0952315930891198E-3</v>
      </c>
      <c r="Z7">
        <v>3.9129406658508304E-3</v>
      </c>
      <c r="AA7">
        <v>3.41530848765118E-3</v>
      </c>
      <c r="AB7">
        <v>1.05489136995464E-2</v>
      </c>
      <c r="AC7">
        <v>6.7514785898692897E-3</v>
      </c>
      <c r="AD7">
        <v>1.46588092250724E-2</v>
      </c>
    </row>
    <row r="8" spans="1:30" x14ac:dyDescent="0.35">
      <c r="A8" t="s">
        <v>54</v>
      </c>
      <c r="B8" t="s">
        <v>58</v>
      </c>
      <c r="C8" t="s">
        <v>4</v>
      </c>
      <c r="D8">
        <v>3.7266836829025298E-3</v>
      </c>
      <c r="E8">
        <v>8.8101233692607899E-3</v>
      </c>
      <c r="F8">
        <v>1.6441401694867599E-2</v>
      </c>
      <c r="G8">
        <v>2.3836522582913099E-2</v>
      </c>
      <c r="H8">
        <v>2.6571738811739298E-2</v>
      </c>
      <c r="I8">
        <v>2.0158541658273601E-2</v>
      </c>
      <c r="J8">
        <v>5.5621387716710598E-3</v>
      </c>
      <c r="K8">
        <v>3.1928254316729902E-3</v>
      </c>
      <c r="L8">
        <v>1.5600848396551801E-2</v>
      </c>
      <c r="M8">
        <v>2.6405957067173701E-2</v>
      </c>
      <c r="N8">
        <v>3.4161160821830003E-2</v>
      </c>
      <c r="O8">
        <v>1.9844333500334599E-2</v>
      </c>
      <c r="P8">
        <v>4.8067787177839599E-4</v>
      </c>
      <c r="Q8">
        <v>2.9779723057187801E-2</v>
      </c>
      <c r="R8" s="1">
        <v>2.33319454458079E-5</v>
      </c>
      <c r="S8">
        <v>1.72366449707167E-2</v>
      </c>
      <c r="T8">
        <v>1.42363692908335E-2</v>
      </c>
      <c r="U8">
        <v>1.36827531862239E-2</v>
      </c>
      <c r="V8">
        <v>1.8763055506310099E-2</v>
      </c>
      <c r="W8">
        <v>1.9010004349231401E-2</v>
      </c>
      <c r="X8">
        <v>2.0335792240853301E-2</v>
      </c>
      <c r="Y8">
        <v>1.21480662655001E-2</v>
      </c>
      <c r="Z8">
        <v>1.7644795289216799E-3</v>
      </c>
      <c r="AA8">
        <v>1.91713785233187E-2</v>
      </c>
      <c r="AB8">
        <v>2.37542140108555E-2</v>
      </c>
      <c r="AC8">
        <v>1.46131286029551E-2</v>
      </c>
      <c r="AD8">
        <v>2.37680384617883E-2</v>
      </c>
    </row>
    <row r="9" spans="1:30" x14ac:dyDescent="0.35">
      <c r="A9" t="s">
        <v>54</v>
      </c>
      <c r="B9" t="s">
        <v>58</v>
      </c>
      <c r="C9" t="s">
        <v>6</v>
      </c>
      <c r="D9">
        <v>8.6942088582572397E-3</v>
      </c>
      <c r="E9">
        <v>4.8826540736021298E-3</v>
      </c>
      <c r="F9">
        <v>1.7312331533326599E-3</v>
      </c>
      <c r="G9">
        <v>1.0530785149168999E-2</v>
      </c>
      <c r="H9">
        <v>1.0678909633725E-2</v>
      </c>
      <c r="I9">
        <v>1.00898625069146E-2</v>
      </c>
      <c r="J9">
        <v>3.1418587497905499E-3</v>
      </c>
      <c r="K9">
        <v>3.7136264958577002E-3</v>
      </c>
      <c r="L9">
        <v>1.9444364446382901E-3</v>
      </c>
      <c r="M9">
        <v>1.0228365868507399E-2</v>
      </c>
      <c r="N9">
        <v>1.1521131712678901E-2</v>
      </c>
      <c r="O9">
        <v>1.0184044381452101E-2</v>
      </c>
      <c r="P9">
        <v>2.0759322359554199E-2</v>
      </c>
      <c r="Q9">
        <v>1.86522564814205E-2</v>
      </c>
      <c r="R9">
        <v>2.5737804893162901E-2</v>
      </c>
      <c r="S9">
        <v>5.2497630569826902E-4</v>
      </c>
      <c r="T9">
        <v>1.0118123797006001E-2</v>
      </c>
      <c r="U9">
        <v>4.8553122281537898E-3</v>
      </c>
      <c r="V9">
        <v>1.04911409369455E-2</v>
      </c>
      <c r="W9">
        <v>1.0923281420001299E-2</v>
      </c>
      <c r="X9">
        <v>1.0452640651393201E-2</v>
      </c>
      <c r="Y9">
        <v>2.1122826034034401E-3</v>
      </c>
      <c r="Z9">
        <v>4.59629789431779E-3</v>
      </c>
      <c r="AA9">
        <v>3.6101493657045699E-3</v>
      </c>
      <c r="AB9">
        <v>8.5607879137969498E-3</v>
      </c>
      <c r="AC9">
        <v>4.8791500673712697E-3</v>
      </c>
      <c r="AD9">
        <v>1.07328664817246E-2</v>
      </c>
    </row>
    <row r="10" spans="1:30" x14ac:dyDescent="0.35">
      <c r="A10" t="s">
        <v>54</v>
      </c>
      <c r="B10" t="s">
        <v>59</v>
      </c>
      <c r="C10" t="s">
        <v>5</v>
      </c>
      <c r="D10">
        <v>3.4960519531053703E-2</v>
      </c>
      <c r="E10">
        <v>4.18246833260204E-2</v>
      </c>
      <c r="F10">
        <v>2.76717345270019E-2</v>
      </c>
      <c r="G10">
        <v>3.7271005316228303E-2</v>
      </c>
      <c r="H10">
        <v>3.6057809565993103E-2</v>
      </c>
      <c r="I10">
        <v>3.5258692406440799E-2</v>
      </c>
      <c r="J10">
        <v>3.6368797647797803E-2</v>
      </c>
      <c r="K10">
        <v>3.8596742956675902E-2</v>
      </c>
      <c r="L10">
        <v>2.7857640401466401E-2</v>
      </c>
      <c r="M10">
        <v>3.2851500225716902E-2</v>
      </c>
      <c r="N10">
        <v>2.93647276687398E-2</v>
      </c>
      <c r="O10">
        <v>3.5318859384832098E-2</v>
      </c>
      <c r="P10">
        <v>3.4234587300125303E-2</v>
      </c>
      <c r="Q10">
        <v>2.8209498701580599E-2</v>
      </c>
      <c r="R10">
        <v>2.82425168642811E-2</v>
      </c>
      <c r="S10">
        <v>2.8391829075529101E-2</v>
      </c>
      <c r="T10">
        <v>4.19890723339136E-2</v>
      </c>
      <c r="U10">
        <v>2.8839694327858802E-2</v>
      </c>
      <c r="V10">
        <v>4.0289361369287298E-2</v>
      </c>
      <c r="W10">
        <v>3.7260856181219403E-2</v>
      </c>
      <c r="X10">
        <v>3.6060216952016798E-2</v>
      </c>
      <c r="Y10">
        <v>2.5550936739686898E-2</v>
      </c>
      <c r="Z10">
        <v>2.6928364310827398E-2</v>
      </c>
      <c r="AA10">
        <v>2.07800015552922E-2</v>
      </c>
      <c r="AB10">
        <v>3.9781188542299603E-2</v>
      </c>
      <c r="AC10">
        <v>3.3079677762867701E-2</v>
      </c>
      <c r="AD10">
        <v>3.7235011211791097E-2</v>
      </c>
    </row>
    <row r="11" spans="1:30" x14ac:dyDescent="0.35">
      <c r="A11" t="s">
        <v>54</v>
      </c>
      <c r="B11" t="s">
        <v>59</v>
      </c>
      <c r="C11" t="s">
        <v>17</v>
      </c>
      <c r="D11">
        <v>2.2285634362705298E-2</v>
      </c>
      <c r="E11">
        <v>2.9291417824314301E-2</v>
      </c>
      <c r="F11">
        <v>2.0784634406971401E-2</v>
      </c>
      <c r="G11">
        <v>1.96385331742992E-2</v>
      </c>
      <c r="H11">
        <v>1.8330933071834601E-2</v>
      </c>
      <c r="I11">
        <v>2.29632177046688E-2</v>
      </c>
      <c r="J11">
        <v>1.23857247860528E-2</v>
      </c>
      <c r="K11">
        <v>1.76307185240916E-2</v>
      </c>
      <c r="L11">
        <v>2.1055143611125999E-2</v>
      </c>
      <c r="M11">
        <v>1.7676934188662501E-2</v>
      </c>
      <c r="N11">
        <v>9.5633805357489207E-3</v>
      </c>
      <c r="O11">
        <v>2.3035342568157102E-2</v>
      </c>
      <c r="P11">
        <v>2.0559459061686401E-2</v>
      </c>
      <c r="Q11">
        <v>2.5581359362377099E-2</v>
      </c>
      <c r="R11">
        <v>2.6108470837921501E-2</v>
      </c>
      <c r="S11">
        <v>2.0555512824679899E-2</v>
      </c>
      <c r="T11">
        <v>2.5626558364617399E-2</v>
      </c>
      <c r="U11">
        <v>1.99722911243445E-2</v>
      </c>
      <c r="V11">
        <v>2.4419615869663999E-2</v>
      </c>
      <c r="W11">
        <v>2.34559822393232E-2</v>
      </c>
      <c r="X11">
        <v>2.3276232296408898E-2</v>
      </c>
      <c r="Y11">
        <v>1.24430440526326E-2</v>
      </c>
      <c r="Z11">
        <v>1.2460069232375101E-2</v>
      </c>
      <c r="AA11">
        <v>1.97752274708928E-2</v>
      </c>
      <c r="AB11">
        <v>2.1549907749316401E-2</v>
      </c>
      <c r="AC11">
        <v>1.9933848000651799E-2</v>
      </c>
      <c r="AD11">
        <v>2.5183536819098601E-2</v>
      </c>
    </row>
    <row r="12" spans="1:30" x14ac:dyDescent="0.35">
      <c r="A12" t="s">
        <v>54</v>
      </c>
      <c r="B12" t="s">
        <v>59</v>
      </c>
      <c r="C12" t="s">
        <v>21</v>
      </c>
      <c r="D12">
        <v>3.1853077565031702E-2</v>
      </c>
      <c r="E12">
        <v>3.2105434797390003E-2</v>
      </c>
      <c r="F12">
        <v>3.1990985601962299E-2</v>
      </c>
      <c r="G12">
        <v>2.84140415668531E-2</v>
      </c>
      <c r="H12">
        <v>2.7402925865569399E-2</v>
      </c>
      <c r="I12">
        <v>3.0410322911878299E-2</v>
      </c>
      <c r="J12">
        <v>2.45140992663017E-2</v>
      </c>
      <c r="K12">
        <v>3.2241485882999799E-2</v>
      </c>
      <c r="L12">
        <v>3.25571435930904E-2</v>
      </c>
      <c r="M12">
        <v>2.7029241880811999E-2</v>
      </c>
      <c r="N12">
        <v>2.6217076880474099E-2</v>
      </c>
      <c r="O12">
        <v>3.0694195743979101E-2</v>
      </c>
      <c r="P12">
        <v>1.8480171870224198E-2</v>
      </c>
      <c r="Q12">
        <v>1.03098550102766E-3</v>
      </c>
      <c r="R12">
        <v>1.67849831565791E-2</v>
      </c>
      <c r="S12">
        <v>3.2237989793721097E-2</v>
      </c>
      <c r="T12">
        <v>2.0263936896158099E-2</v>
      </c>
      <c r="U12">
        <v>3.6843782889921697E-2</v>
      </c>
      <c r="V12">
        <v>2.81133513255209E-2</v>
      </c>
      <c r="W12">
        <v>3.2339167676820497E-2</v>
      </c>
      <c r="X12">
        <v>2.9873576514467801E-2</v>
      </c>
      <c r="Y12">
        <v>1.5894825295763301E-2</v>
      </c>
      <c r="Z12">
        <v>2.4969723323913201E-2</v>
      </c>
      <c r="AA12">
        <v>2.2350666921836501E-2</v>
      </c>
      <c r="AB12">
        <v>2.48897491673006E-2</v>
      </c>
      <c r="AC12">
        <v>3.0800677530747899E-2</v>
      </c>
      <c r="AD12">
        <v>2.8958088573133801E-2</v>
      </c>
    </row>
    <row r="13" spans="1:30" x14ac:dyDescent="0.35">
      <c r="A13" t="s">
        <v>54</v>
      </c>
      <c r="B13" t="s">
        <v>56</v>
      </c>
      <c r="C13" t="s">
        <v>2</v>
      </c>
      <c r="D13">
        <v>3.0014230562922701E-2</v>
      </c>
      <c r="E13">
        <v>3.8000391763567697E-2</v>
      </c>
      <c r="F13">
        <v>2.6654744715396798E-2</v>
      </c>
      <c r="G13">
        <v>3.2217227205818003E-2</v>
      </c>
      <c r="H13">
        <v>2.9383562445155501E-2</v>
      </c>
      <c r="I13">
        <v>3.8835971212168099E-2</v>
      </c>
      <c r="J13">
        <v>2.9890588929716501E-2</v>
      </c>
      <c r="K13">
        <v>3.7357561472166997E-2</v>
      </c>
      <c r="L13">
        <v>2.6760741189653301E-2</v>
      </c>
      <c r="M13">
        <v>3.5213211627032101E-2</v>
      </c>
      <c r="N13">
        <v>2.2786382719126901E-2</v>
      </c>
      <c r="O13">
        <v>3.8648050430002898E-2</v>
      </c>
      <c r="P13">
        <v>3.7668794874319997E-2</v>
      </c>
      <c r="Q13">
        <v>3.9260135991786002E-2</v>
      </c>
      <c r="R13">
        <v>3.8098185534826502E-2</v>
      </c>
      <c r="S13">
        <v>2.72991545782756E-2</v>
      </c>
      <c r="T13">
        <v>4.5093243168079097E-2</v>
      </c>
      <c r="U13">
        <v>2.4950086911814901E-2</v>
      </c>
      <c r="V13">
        <v>4.2558735083265103E-2</v>
      </c>
      <c r="W13">
        <v>3.7695228457156602E-2</v>
      </c>
      <c r="X13">
        <v>3.90947589877177E-2</v>
      </c>
      <c r="Y13">
        <v>3.0205305196016101E-2</v>
      </c>
      <c r="Z13">
        <v>2.8567559157621401E-2</v>
      </c>
      <c r="AA13">
        <v>3.29919749686843E-2</v>
      </c>
      <c r="AB13">
        <v>4.0202828085372101E-2</v>
      </c>
      <c r="AC13">
        <v>3.7713363930942698E-2</v>
      </c>
      <c r="AD13">
        <v>3.8816579859927001E-2</v>
      </c>
    </row>
    <row r="14" spans="1:30" x14ac:dyDescent="0.35">
      <c r="A14" t="s">
        <v>54</v>
      </c>
      <c r="B14" t="s">
        <v>56</v>
      </c>
      <c r="C14" t="s">
        <v>7</v>
      </c>
      <c r="D14">
        <v>7.5481052537588996E-3</v>
      </c>
      <c r="E14">
        <v>8.9498626871036997E-3</v>
      </c>
      <c r="F14">
        <v>1.85107908368361E-3</v>
      </c>
      <c r="G14">
        <v>2.1287792115148099E-2</v>
      </c>
      <c r="H14">
        <v>2.2287111352578201E-2</v>
      </c>
      <c r="I14">
        <v>2.5611618322529301E-2</v>
      </c>
      <c r="J14">
        <v>4.1684073909221096E-3</v>
      </c>
      <c r="K14">
        <v>1.10217652936648E-2</v>
      </c>
      <c r="L14">
        <v>2.47631914778065E-3</v>
      </c>
      <c r="M14">
        <v>2.6991606480006699E-2</v>
      </c>
      <c r="N14">
        <v>2.5086003973492699E-2</v>
      </c>
      <c r="O14">
        <v>2.54455651601159E-2</v>
      </c>
      <c r="P14">
        <v>1.13286189928541E-2</v>
      </c>
      <c r="Q14">
        <v>7.6746287355094001E-3</v>
      </c>
      <c r="R14">
        <v>9.9811144655442604E-3</v>
      </c>
      <c r="S14">
        <v>1.8532842428502E-3</v>
      </c>
      <c r="T14">
        <v>1.9840639248587501E-2</v>
      </c>
      <c r="U14">
        <v>3.4051195845435801E-3</v>
      </c>
      <c r="V14">
        <v>2.1181267177779399E-2</v>
      </c>
      <c r="W14">
        <v>2.26449538494983E-2</v>
      </c>
      <c r="X14">
        <v>2.50007713196909E-2</v>
      </c>
      <c r="Y14">
        <v>6.5056249505218103E-3</v>
      </c>
      <c r="Z14">
        <v>1.6343187323699899E-2</v>
      </c>
      <c r="AA14">
        <v>8.8095975836432992E-3</v>
      </c>
      <c r="AB14">
        <v>2.20312593987711E-2</v>
      </c>
      <c r="AC14">
        <v>2.3770785944397702E-2</v>
      </c>
      <c r="AD14">
        <v>2.3724187034970201E-2</v>
      </c>
    </row>
    <row r="15" spans="1:30" x14ac:dyDescent="0.35">
      <c r="C15" t="s">
        <v>9</v>
      </c>
      <c r="D15">
        <v>2.1718987573496201E-2</v>
      </c>
      <c r="E15">
        <v>1.74176244087836E-2</v>
      </c>
      <c r="F15">
        <v>2.8763567118524801E-2</v>
      </c>
      <c r="G15">
        <v>1.64652790022266E-2</v>
      </c>
      <c r="H15">
        <v>1.64098390951899E-2</v>
      </c>
      <c r="I15">
        <v>1.8557901621892799E-2</v>
      </c>
      <c r="J15">
        <v>2.8945328173937499E-2</v>
      </c>
      <c r="K15">
        <v>3.04580652056037E-2</v>
      </c>
      <c r="L15">
        <v>2.8127120833532301E-2</v>
      </c>
      <c r="M15">
        <v>1.5988742821454099E-2</v>
      </c>
      <c r="N15">
        <v>9.8539562313334095E-3</v>
      </c>
      <c r="O15">
        <v>1.8872713570788398E-2</v>
      </c>
      <c r="P15">
        <v>1.61216278669827E-2</v>
      </c>
      <c r="Q15">
        <v>4.53453889353985E-3</v>
      </c>
      <c r="R15">
        <v>1.3049465712349001E-2</v>
      </c>
      <c r="S15">
        <v>2.90863477012402E-2</v>
      </c>
      <c r="T15">
        <v>1.9930289927272499E-2</v>
      </c>
      <c r="U15">
        <v>3.1435601997345901E-2</v>
      </c>
      <c r="V15">
        <v>1.6951810815319501E-2</v>
      </c>
      <c r="W15">
        <v>1.7076845380130701E-2</v>
      </c>
      <c r="X15">
        <v>1.8300183037517102E-2</v>
      </c>
      <c r="Y15">
        <v>2.8821205260415001E-2</v>
      </c>
      <c r="Z15">
        <v>2.8005574503340701E-2</v>
      </c>
      <c r="AA15">
        <v>2.95589824650003E-2</v>
      </c>
      <c r="AB15">
        <v>1.3627640650341199E-2</v>
      </c>
      <c r="AC15">
        <v>1.9462487686601498E-2</v>
      </c>
      <c r="AD15">
        <v>1.3492495119090901E-2</v>
      </c>
    </row>
    <row r="16" spans="1:30" x14ac:dyDescent="0.35">
      <c r="C16" t="s">
        <v>10</v>
      </c>
      <c r="D16">
        <v>3.3275779315888897E-2</v>
      </c>
      <c r="E16">
        <v>4.1591717382261799E-2</v>
      </c>
      <c r="F16">
        <v>2.7151148966859499E-2</v>
      </c>
      <c r="G16">
        <v>3.6580068975032097E-2</v>
      </c>
      <c r="H16">
        <v>3.3026476550327803E-2</v>
      </c>
      <c r="I16">
        <v>3.8920027142838903E-2</v>
      </c>
      <c r="J16">
        <v>3.0347830112629901E-2</v>
      </c>
      <c r="K16">
        <v>3.4366393184761E-2</v>
      </c>
      <c r="L16">
        <v>2.7614076707994799E-2</v>
      </c>
      <c r="M16">
        <v>3.4446262136784603E-2</v>
      </c>
      <c r="N16">
        <v>2.7184663037153101E-2</v>
      </c>
      <c r="O16">
        <v>3.8805990275059897E-2</v>
      </c>
      <c r="P16">
        <v>2.9668307014408701E-2</v>
      </c>
      <c r="Q16">
        <v>4.2203013096047001E-2</v>
      </c>
      <c r="R16">
        <v>2.69812798284212E-2</v>
      </c>
      <c r="S16">
        <v>2.93152483874549E-2</v>
      </c>
      <c r="T16">
        <v>4.5119042193624399E-2</v>
      </c>
      <c r="U16">
        <v>2.3448939454766001E-2</v>
      </c>
      <c r="V16">
        <v>4.4812873556664398E-2</v>
      </c>
      <c r="W16">
        <v>4.1183007630852003E-2</v>
      </c>
      <c r="X16">
        <v>3.9331254476497698E-2</v>
      </c>
      <c r="Y16">
        <v>2.71065835841784E-2</v>
      </c>
      <c r="Z16">
        <v>2.4391761387560201E-2</v>
      </c>
      <c r="AA16">
        <v>2.8754670587560399E-2</v>
      </c>
      <c r="AB16">
        <v>4.3567022622583398E-2</v>
      </c>
      <c r="AC16">
        <v>3.9635397430648797E-2</v>
      </c>
      <c r="AD16">
        <v>4.1746321786050603E-2</v>
      </c>
    </row>
    <row r="17" spans="3:30" x14ac:dyDescent="0.35">
      <c r="C17" t="s">
        <v>11</v>
      </c>
      <c r="D17">
        <v>1.48433932130071E-2</v>
      </c>
      <c r="E17">
        <v>1.5643485229945301E-2</v>
      </c>
      <c r="F17">
        <v>1.2971013519273799E-2</v>
      </c>
      <c r="G17">
        <v>2.0107969895627201E-2</v>
      </c>
      <c r="H17">
        <v>2.06378989027853E-2</v>
      </c>
      <c r="I17">
        <v>2.3489581487704501E-2</v>
      </c>
      <c r="J17">
        <v>2.77355593744469E-3</v>
      </c>
      <c r="K17">
        <v>9.03431596032701E-3</v>
      </c>
      <c r="L17">
        <v>1.34684329382518E-2</v>
      </c>
      <c r="M17">
        <v>2.0430274725316701E-2</v>
      </c>
      <c r="N17">
        <v>1.7748490973558299E-2</v>
      </c>
      <c r="O17">
        <v>2.3660156637428501E-2</v>
      </c>
      <c r="P17">
        <v>9.7667231444184908E-3</v>
      </c>
      <c r="Q17">
        <v>1.3667453187162001E-2</v>
      </c>
      <c r="R17">
        <v>1.7162162560444599E-2</v>
      </c>
      <c r="S17">
        <v>1.26015649634908E-2</v>
      </c>
      <c r="T17">
        <v>1.76692776974136E-2</v>
      </c>
      <c r="U17">
        <v>1.51449386319832E-2</v>
      </c>
      <c r="V17">
        <v>1.92663615344255E-2</v>
      </c>
      <c r="W17">
        <v>2.2603837525421899E-2</v>
      </c>
      <c r="X17">
        <v>2.3114160995400399E-2</v>
      </c>
      <c r="Y17">
        <v>3.5508103530935398E-3</v>
      </c>
      <c r="Z17">
        <v>1.1169163860813699E-2</v>
      </c>
      <c r="AA17">
        <v>1.1615486040633701E-2</v>
      </c>
      <c r="AB17">
        <v>1.6377511427041899E-2</v>
      </c>
      <c r="AC17">
        <v>1.8729680797321499E-2</v>
      </c>
      <c r="AD17">
        <v>2.3309645974674099E-2</v>
      </c>
    </row>
    <row r="18" spans="3:30" x14ac:dyDescent="0.35">
      <c r="C18" t="s">
        <v>12</v>
      </c>
      <c r="D18">
        <v>1.46696790120088E-2</v>
      </c>
      <c r="E18">
        <v>1.37485041021749E-2</v>
      </c>
      <c r="F18">
        <v>1.3013474841529401E-2</v>
      </c>
      <c r="G18">
        <v>1.3562437771961901E-2</v>
      </c>
      <c r="H18">
        <v>1.3618886344088E-2</v>
      </c>
      <c r="I18">
        <v>1.9594560506088099E-2</v>
      </c>
      <c r="J18">
        <v>2.9823682340491299E-3</v>
      </c>
      <c r="K18">
        <v>1.0688728586178401E-2</v>
      </c>
      <c r="L18">
        <v>1.3306838158808801E-2</v>
      </c>
      <c r="M18">
        <v>1.3326568941932E-2</v>
      </c>
      <c r="N18">
        <v>5.9633308772710199E-3</v>
      </c>
      <c r="O18">
        <v>1.9729225498865102E-2</v>
      </c>
      <c r="P18">
        <v>1.62558141959613E-2</v>
      </c>
      <c r="Q18">
        <v>7.8593813198630097E-3</v>
      </c>
      <c r="R18">
        <v>2.0782080876517599E-2</v>
      </c>
      <c r="S18">
        <v>1.29781516870437E-2</v>
      </c>
      <c r="T18">
        <v>1.2860075840455299E-2</v>
      </c>
      <c r="U18">
        <v>1.32358036405317E-2</v>
      </c>
      <c r="V18">
        <v>1.64770755125172E-2</v>
      </c>
      <c r="W18">
        <v>1.8790370457283899E-2</v>
      </c>
      <c r="X18">
        <v>1.9252219305731701E-2</v>
      </c>
      <c r="Y18">
        <v>7.5170635043399197E-3</v>
      </c>
      <c r="Z18">
        <v>1.49372216668057E-2</v>
      </c>
      <c r="AA18">
        <v>1.5803685158785202E-2</v>
      </c>
      <c r="AB18">
        <v>1.40262443461897E-2</v>
      </c>
      <c r="AC18">
        <v>1.7950437854555398E-2</v>
      </c>
      <c r="AD18">
        <v>1.81387472976592E-2</v>
      </c>
    </row>
    <row r="19" spans="3:30" x14ac:dyDescent="0.35">
      <c r="C19" t="s">
        <v>13</v>
      </c>
      <c r="D19">
        <v>3.1236339024768502E-2</v>
      </c>
      <c r="E19">
        <v>3.2285168104643998E-2</v>
      </c>
      <c r="F19">
        <v>2.5914745274789801E-2</v>
      </c>
      <c r="G19">
        <v>3.0863696454723099E-2</v>
      </c>
      <c r="H19">
        <v>2.88967544069758E-2</v>
      </c>
      <c r="I19">
        <v>3.144929659621E-2</v>
      </c>
      <c r="J19">
        <v>2.07451444176446E-2</v>
      </c>
      <c r="K19">
        <v>1.9661472266190999E-2</v>
      </c>
      <c r="L19">
        <v>2.64048867720338E-2</v>
      </c>
      <c r="M19">
        <v>2.9260608784261701E-2</v>
      </c>
      <c r="N19">
        <v>2.52106221619312E-2</v>
      </c>
      <c r="O19">
        <v>3.15859969350714E-2</v>
      </c>
      <c r="P19">
        <v>1.9637420321642202E-2</v>
      </c>
      <c r="Q19">
        <v>2.3896215637267199E-2</v>
      </c>
      <c r="R19">
        <v>1.78260818025937E-2</v>
      </c>
      <c r="S19">
        <v>2.4837481914029801E-2</v>
      </c>
      <c r="T19">
        <v>3.3060045289781001E-2</v>
      </c>
      <c r="U19">
        <v>2.6491219656741401E-2</v>
      </c>
      <c r="V19">
        <v>3.5020574168861403E-2</v>
      </c>
      <c r="W19">
        <v>3.4306499720798203E-2</v>
      </c>
      <c r="X19">
        <v>3.1815861314148403E-2</v>
      </c>
      <c r="Y19">
        <v>1.6642321753037901E-2</v>
      </c>
      <c r="Z19">
        <v>1.8668046567342202E-2</v>
      </c>
      <c r="AA19">
        <v>2.14880472551181E-2</v>
      </c>
      <c r="AB19">
        <v>3.1528452192601399E-2</v>
      </c>
      <c r="AC19">
        <v>2.9840997421601699E-2</v>
      </c>
      <c r="AD19">
        <v>3.4266850249829402E-2</v>
      </c>
    </row>
    <row r="20" spans="3:30" x14ac:dyDescent="0.35">
      <c r="C20" t="s">
        <v>14</v>
      </c>
      <c r="D20">
        <v>2.6751782875007801E-2</v>
      </c>
      <c r="E20">
        <v>3.5617665366585699E-2</v>
      </c>
      <c r="F20">
        <v>2.4543161279075E-2</v>
      </c>
      <c r="G20">
        <v>3.0938100195836499E-2</v>
      </c>
      <c r="H20">
        <v>2.8797724682959099E-2</v>
      </c>
      <c r="I20">
        <v>3.7999481863490302E-2</v>
      </c>
      <c r="J20">
        <v>2.6874626075283101E-2</v>
      </c>
      <c r="K20">
        <v>3.5210863727003897E-2</v>
      </c>
      <c r="L20">
        <v>2.4628787886643199E-2</v>
      </c>
      <c r="M20">
        <v>3.4470377362546198E-2</v>
      </c>
      <c r="N20">
        <v>2.1718408561387601E-2</v>
      </c>
      <c r="O20">
        <v>3.7788677445796198E-2</v>
      </c>
      <c r="P20">
        <v>3.4463682155870701E-2</v>
      </c>
      <c r="Q20">
        <v>3.4869992777752497E-2</v>
      </c>
      <c r="R20">
        <v>3.4755106517552099E-2</v>
      </c>
      <c r="S20">
        <v>2.49569424664004E-2</v>
      </c>
      <c r="T20">
        <v>4.0658491413882697E-2</v>
      </c>
      <c r="U20">
        <v>2.30590665657554E-2</v>
      </c>
      <c r="V20">
        <v>4.0625944273960303E-2</v>
      </c>
      <c r="W20">
        <v>3.6221867415163499E-2</v>
      </c>
      <c r="X20">
        <v>3.8120285408505497E-2</v>
      </c>
      <c r="Y20">
        <v>2.8829298683889799E-2</v>
      </c>
      <c r="Z20">
        <v>2.8234245315636699E-2</v>
      </c>
      <c r="AA20">
        <v>3.2107634871234102E-2</v>
      </c>
      <c r="AB20">
        <v>3.91186879826056E-2</v>
      </c>
      <c r="AC20">
        <v>3.7607847181839502E-2</v>
      </c>
      <c r="AD20">
        <v>3.7607176412884802E-2</v>
      </c>
    </row>
    <row r="21" spans="3:30" x14ac:dyDescent="0.35">
      <c r="C21" t="s">
        <v>15</v>
      </c>
      <c r="D21">
        <v>1.6088968779701299E-2</v>
      </c>
      <c r="E21">
        <v>6.1699914787626004E-3</v>
      </c>
      <c r="F21">
        <v>1.6846921580398799E-2</v>
      </c>
      <c r="G21">
        <v>8.0381047562284799E-3</v>
      </c>
      <c r="H21">
        <v>9.3108491309318708E-3</v>
      </c>
      <c r="I21">
        <v>1.09971310888765E-2</v>
      </c>
      <c r="J21">
        <v>7.3640007994224396E-3</v>
      </c>
      <c r="K21">
        <v>7.3473979442826801E-3</v>
      </c>
      <c r="L21">
        <v>1.6719735473815001E-2</v>
      </c>
      <c r="M21">
        <v>5.8272618828661997E-3</v>
      </c>
      <c r="N21">
        <v>2.3550415593312801E-3</v>
      </c>
      <c r="O21">
        <v>1.1295276866920501E-2</v>
      </c>
      <c r="P21">
        <v>2.6493379592823999E-2</v>
      </c>
      <c r="Q21">
        <v>4.6554745142667704E-3</v>
      </c>
      <c r="R21">
        <v>3.2362186435838602E-2</v>
      </c>
      <c r="S21">
        <v>1.50950657830761E-2</v>
      </c>
      <c r="T21">
        <v>7.7119409865381901E-3</v>
      </c>
      <c r="U21">
        <v>1.77679588728131E-2</v>
      </c>
      <c r="V21">
        <v>8.9286059120793401E-3</v>
      </c>
      <c r="W21">
        <v>1.04294925634748E-2</v>
      </c>
      <c r="X21">
        <v>1.10033790507065E-2</v>
      </c>
      <c r="Y21">
        <v>1.3106357466991901E-2</v>
      </c>
      <c r="Z21">
        <v>1.8182404798855901E-2</v>
      </c>
      <c r="AA21">
        <v>1.9202503997286801E-2</v>
      </c>
      <c r="AB21">
        <v>6.7046170903475996E-3</v>
      </c>
      <c r="AC21">
        <v>1.1116250463289699E-2</v>
      </c>
      <c r="AD21">
        <v>8.9646945182228696E-3</v>
      </c>
    </row>
    <row r="22" spans="3:30" x14ac:dyDescent="0.35">
      <c r="C22" t="s">
        <v>16</v>
      </c>
      <c r="D22">
        <v>1.6570965886055399E-2</v>
      </c>
      <c r="E22">
        <v>1.8101798823459601E-2</v>
      </c>
      <c r="F22">
        <v>1.77304048305181E-2</v>
      </c>
      <c r="G22">
        <v>1.4441418379069201E-2</v>
      </c>
      <c r="H22">
        <v>1.51521627153808E-2</v>
      </c>
      <c r="I22">
        <v>1.29796493368339E-2</v>
      </c>
      <c r="J22">
        <v>2.0274655258320999E-2</v>
      </c>
      <c r="K22">
        <v>2.1284865939045099E-2</v>
      </c>
      <c r="L22">
        <v>1.7751830862114699E-2</v>
      </c>
      <c r="M22">
        <v>1.1454268977217699E-2</v>
      </c>
      <c r="N22">
        <v>9.0507046671715503E-3</v>
      </c>
      <c r="O22">
        <v>1.30695910592117E-2</v>
      </c>
      <c r="P22">
        <v>1.62974703958624E-2</v>
      </c>
      <c r="Q22">
        <v>5.1092185577114504E-3</v>
      </c>
      <c r="R22">
        <v>1.2805663361175499E-2</v>
      </c>
      <c r="S22">
        <v>1.8010330685632299E-2</v>
      </c>
      <c r="T22">
        <v>9.9555915782343195E-3</v>
      </c>
      <c r="U22">
        <v>1.8788929927038199E-2</v>
      </c>
      <c r="V22">
        <v>1.3327299391879901E-2</v>
      </c>
      <c r="W22">
        <v>1.3334763613697001E-2</v>
      </c>
      <c r="X22">
        <v>1.3014956636778799E-2</v>
      </c>
      <c r="Y22">
        <v>1.7568072890212099E-2</v>
      </c>
      <c r="Z22">
        <v>1.89921413063458E-2</v>
      </c>
      <c r="AA22">
        <v>1.6061608349972601E-2</v>
      </c>
      <c r="AB22">
        <v>1.5145857961503599E-2</v>
      </c>
      <c r="AC22">
        <v>1.67330390692986E-2</v>
      </c>
      <c r="AD22">
        <v>1.2090716576935501E-2</v>
      </c>
    </row>
    <row r="23" spans="3:30" x14ac:dyDescent="0.35">
      <c r="C23" t="s">
        <v>18</v>
      </c>
      <c r="D23">
        <v>1.39815216096536E-2</v>
      </c>
      <c r="E23">
        <v>7.3473478296888304E-3</v>
      </c>
      <c r="F23">
        <v>6.6896584636056801E-3</v>
      </c>
      <c r="G23">
        <v>7.5082224486501502E-3</v>
      </c>
      <c r="H23">
        <v>5.2224809993889299E-3</v>
      </c>
      <c r="I23">
        <v>3.7850814509411E-3</v>
      </c>
      <c r="J23">
        <v>1.2077454205240101E-2</v>
      </c>
      <c r="K23">
        <v>2.9738030965930202E-3</v>
      </c>
      <c r="L23">
        <v>6.6764083035722099E-3</v>
      </c>
      <c r="M23">
        <v>3.0640365873998302E-3</v>
      </c>
      <c r="N23">
        <v>3.88365575004304E-3</v>
      </c>
      <c r="O23">
        <v>3.9365588108304199E-3</v>
      </c>
      <c r="P23">
        <v>1.47653072785813E-2</v>
      </c>
      <c r="Q23">
        <v>2.3304483162906699E-2</v>
      </c>
      <c r="R23">
        <v>1.5085155869632799E-2</v>
      </c>
      <c r="S23">
        <v>7.3978258513377002E-3</v>
      </c>
      <c r="T23">
        <v>2.1189543429456802E-2</v>
      </c>
      <c r="U23">
        <v>4.3642058290161304E-3</v>
      </c>
      <c r="V23">
        <v>9.5465153336833E-3</v>
      </c>
      <c r="W23">
        <v>6.8624832358209799E-3</v>
      </c>
      <c r="X23">
        <v>4.7061720904869398E-3</v>
      </c>
      <c r="Y23">
        <v>7.98675993580906E-3</v>
      </c>
      <c r="Z23">
        <v>2.892680805272E-3</v>
      </c>
      <c r="AA23">
        <v>4.3112504160798398E-3</v>
      </c>
      <c r="AB23">
        <v>6.5019301012481196E-3</v>
      </c>
      <c r="AC23">
        <v>3.3908105903633802E-4</v>
      </c>
      <c r="AD23">
        <v>6.2463073358214197E-3</v>
      </c>
    </row>
    <row r="24" spans="3:30" x14ac:dyDescent="0.35">
      <c r="C24" t="s">
        <v>19</v>
      </c>
      <c r="D24">
        <v>4.5368718813723003E-3</v>
      </c>
      <c r="E24">
        <v>1.25728664322613E-2</v>
      </c>
      <c r="F24">
        <v>3.9223219557989698E-3</v>
      </c>
      <c r="G24">
        <v>1.25788331638665E-2</v>
      </c>
      <c r="H24">
        <v>1.2480706067958E-2</v>
      </c>
      <c r="I24">
        <v>7.4677565381199599E-3</v>
      </c>
      <c r="J24">
        <v>9.9481686089188505E-4</v>
      </c>
      <c r="K24">
        <v>5.3896803449205095E-4</v>
      </c>
      <c r="L24">
        <v>3.33679755110261E-3</v>
      </c>
      <c r="M24">
        <v>5.2223305713087597E-3</v>
      </c>
      <c r="N24">
        <v>1.2379581637766901E-2</v>
      </c>
      <c r="O24">
        <v>7.5235866478138803E-3</v>
      </c>
      <c r="P24">
        <v>1.20041849001763E-3</v>
      </c>
      <c r="Q24">
        <v>2.4907352978106902E-2</v>
      </c>
      <c r="R24">
        <v>1.8340857082436699E-3</v>
      </c>
      <c r="S24">
        <v>1.5689017066823801E-3</v>
      </c>
      <c r="T24">
        <v>6.7247541437470398E-3</v>
      </c>
      <c r="U24">
        <v>5.46726506812648E-3</v>
      </c>
      <c r="V24">
        <v>9.3443587736514108E-3</v>
      </c>
      <c r="W24">
        <v>1.1120045638966699E-2</v>
      </c>
      <c r="X24">
        <v>7.8533344436530796E-3</v>
      </c>
      <c r="Y24">
        <v>8.4521007894955008E-3</v>
      </c>
      <c r="Z24">
        <v>5.0042615126989903E-3</v>
      </c>
      <c r="AA24">
        <v>1.2236387406382301E-2</v>
      </c>
      <c r="AB24">
        <v>1.13090248591338E-2</v>
      </c>
      <c r="AC24">
        <v>5.42452965264915E-3</v>
      </c>
      <c r="AD24">
        <v>1.16083525478053E-2</v>
      </c>
    </row>
    <row r="25" spans="3:30" x14ac:dyDescent="0.35">
      <c r="C25" t="s">
        <v>20</v>
      </c>
      <c r="D25">
        <v>6.27044160075941E-3</v>
      </c>
      <c r="E25">
        <v>9.0433617995787797E-3</v>
      </c>
      <c r="F25">
        <v>1.34809287678907E-2</v>
      </c>
      <c r="G25">
        <v>8.9028143046023401E-3</v>
      </c>
      <c r="H25">
        <v>1.04993846801722E-2</v>
      </c>
      <c r="I25">
        <v>1.12957725899555E-2</v>
      </c>
      <c r="J25">
        <v>1.55878731248536E-2</v>
      </c>
      <c r="K25">
        <v>1.6701581706901499E-2</v>
      </c>
      <c r="L25">
        <v>1.2944039429418699E-2</v>
      </c>
      <c r="M25">
        <v>1.13661954410396E-2</v>
      </c>
      <c r="N25">
        <v>3.7372190601045702E-3</v>
      </c>
      <c r="O25">
        <v>1.12263984228738E-2</v>
      </c>
      <c r="P25">
        <v>9.5935878803790897E-3</v>
      </c>
      <c r="Q25">
        <v>2.4901169859597601E-3</v>
      </c>
      <c r="R25">
        <v>4.6353713507537603E-3</v>
      </c>
      <c r="S25">
        <v>1.24845155700974E-2</v>
      </c>
      <c r="T25">
        <v>5.8084828512394602E-3</v>
      </c>
      <c r="U25">
        <v>1.36511436425051E-2</v>
      </c>
      <c r="V25">
        <v>1.0424574225814401E-2</v>
      </c>
      <c r="W25">
        <v>8.5152049507715207E-3</v>
      </c>
      <c r="X25">
        <v>1.0999938164391701E-2</v>
      </c>
      <c r="Y25">
        <v>2.0596960882492899E-2</v>
      </c>
      <c r="Z25">
        <v>1.9037604076828502E-2</v>
      </c>
      <c r="AA25">
        <v>2.0168090884250301E-2</v>
      </c>
      <c r="AB25">
        <v>1.2903120836286201E-2</v>
      </c>
      <c r="AC25">
        <v>1.7246176168441901E-2</v>
      </c>
      <c r="AD25">
        <v>8.2712317158734599E-3</v>
      </c>
    </row>
    <row r="28" spans="3:30" x14ac:dyDescent="0.35">
      <c r="C28" s="2" t="s">
        <v>1</v>
      </c>
      <c r="D28">
        <f>SQRT(D2)</f>
        <v>4.0737153668187961E-2</v>
      </c>
      <c r="E28">
        <f t="shared" ref="E28:AD38" si="0">SQRT(E2)</f>
        <v>8.0546080966009764E-2</v>
      </c>
      <c r="F28">
        <f t="shared" si="0"/>
        <v>0.13558364955740237</v>
      </c>
      <c r="G28">
        <f t="shared" si="0"/>
        <v>0.11565884919613977</v>
      </c>
      <c r="H28">
        <f t="shared" si="0"/>
        <v>0.120855845458432</v>
      </c>
      <c r="I28">
        <f t="shared" si="0"/>
        <v>6.5994075326597082E-2</v>
      </c>
      <c r="J28">
        <f t="shared" si="0"/>
        <v>9.9888020938570354E-2</v>
      </c>
      <c r="K28">
        <f t="shared" si="0"/>
        <v>0.13987322518209552</v>
      </c>
      <c r="L28">
        <f t="shared" si="0"/>
        <v>0.13190184587206011</v>
      </c>
      <c r="M28">
        <f t="shared" si="0"/>
        <v>0.10272308007246521</v>
      </c>
      <c r="N28">
        <f t="shared" si="0"/>
        <v>0.15632011758883532</v>
      </c>
      <c r="O28">
        <f t="shared" si="0"/>
        <v>6.5763708518198544E-2</v>
      </c>
      <c r="P28">
        <f t="shared" si="0"/>
        <v>7.2511614278774131E-2</v>
      </c>
      <c r="Q28">
        <f t="shared" si="0"/>
        <v>0.12812023086139049</v>
      </c>
      <c r="R28">
        <f t="shared" si="0"/>
        <v>8.2617230257504337E-2</v>
      </c>
      <c r="S28">
        <f t="shared" si="0"/>
        <v>0.13964186043374063</v>
      </c>
      <c r="T28">
        <f t="shared" si="0"/>
        <v>6.4848592885729986E-2</v>
      </c>
      <c r="U28">
        <f t="shared" si="0"/>
        <v>0.12882845762760764</v>
      </c>
      <c r="V28">
        <f t="shared" si="0"/>
        <v>8.1833735163503327E-2</v>
      </c>
      <c r="W28">
        <f t="shared" si="0"/>
        <v>9.0954282936005937E-2</v>
      </c>
      <c r="X28">
        <f t="shared" si="0"/>
        <v>7.0718023755533141E-2</v>
      </c>
      <c r="Y28">
        <f t="shared" si="0"/>
        <v>0.13984485318260662</v>
      </c>
      <c r="Z28">
        <f t="shared" si="0"/>
        <v>0.10456881288967997</v>
      </c>
      <c r="AA28">
        <f t="shared" si="0"/>
        <v>0.16534161922044582</v>
      </c>
      <c r="AB28">
        <f t="shared" si="0"/>
        <v>9.649103008504438E-2</v>
      </c>
      <c r="AC28">
        <f t="shared" si="0"/>
        <v>1.6889830363221857E-2</v>
      </c>
      <c r="AD28">
        <f t="shared" si="0"/>
        <v>0.10054908970416342</v>
      </c>
    </row>
    <row r="29" spans="3:30" x14ac:dyDescent="0.35">
      <c r="C29" s="3" t="s">
        <v>8</v>
      </c>
      <c r="D29">
        <f t="shared" ref="D29:S54" si="1">SQRT(D3)</f>
        <v>0.13706524239852641</v>
      </c>
      <c r="E29">
        <f t="shared" si="1"/>
        <v>0.1580187337560319</v>
      </c>
      <c r="F29">
        <f t="shared" si="1"/>
        <v>0.18507760602588796</v>
      </c>
      <c r="G29">
        <f t="shared" si="1"/>
        <v>9.5906238669812502E-2</v>
      </c>
      <c r="H29">
        <f t="shared" si="1"/>
        <v>9.9285415032672492E-2</v>
      </c>
      <c r="I29">
        <f t="shared" si="1"/>
        <v>0.13025590291978248</v>
      </c>
      <c r="J29">
        <f t="shared" si="1"/>
        <v>0.17347880988048367</v>
      </c>
      <c r="K29">
        <f t="shared" si="1"/>
        <v>0.20391772959934454</v>
      </c>
      <c r="L29">
        <f t="shared" si="1"/>
        <v>0.18236813511732058</v>
      </c>
      <c r="M29">
        <f t="shared" si="1"/>
        <v>0.11244606473140267</v>
      </c>
      <c r="N29">
        <f t="shared" si="1"/>
        <v>3.0901145634689937E-2</v>
      </c>
      <c r="O29">
        <f t="shared" si="1"/>
        <v>0.13093203579196078</v>
      </c>
      <c r="P29">
        <f t="shared" si="1"/>
        <v>0.12637601033768989</v>
      </c>
      <c r="Q29">
        <f t="shared" si="1"/>
        <v>0.13907568965547071</v>
      </c>
      <c r="R29">
        <f t="shared" si="1"/>
        <v>0.1089673843496874</v>
      </c>
      <c r="S29">
        <f t="shared" si="1"/>
        <v>0.18393245770299732</v>
      </c>
      <c r="T29">
        <f t="shared" si="0"/>
        <v>0.11160368182004929</v>
      </c>
      <c r="U29">
        <f t="shared" si="0"/>
        <v>0.19633879010224825</v>
      </c>
      <c r="V29">
        <f t="shared" si="0"/>
        <v>0.11216842175515576</v>
      </c>
      <c r="W29">
        <f t="shared" si="0"/>
        <v>0.10924163628626679</v>
      </c>
      <c r="X29">
        <f t="shared" si="0"/>
        <v>0.12767597852107224</v>
      </c>
      <c r="Y29">
        <f t="shared" si="0"/>
        <v>0.18063203283858903</v>
      </c>
      <c r="Z29">
        <f t="shared" si="0"/>
        <v>0.1767285133023947</v>
      </c>
      <c r="AA29">
        <f t="shared" si="0"/>
        <v>0.19327334678098115</v>
      </c>
      <c r="AB29">
        <f t="shared" si="0"/>
        <v>9.9297457797868111E-2</v>
      </c>
      <c r="AC29">
        <f t="shared" si="0"/>
        <v>0.13959997187632381</v>
      </c>
      <c r="AD29">
        <f t="shared" si="0"/>
        <v>9.6297251229601713E-2</v>
      </c>
    </row>
    <row r="30" spans="3:30" x14ac:dyDescent="0.35">
      <c r="C30" s="2" t="s">
        <v>22</v>
      </c>
      <c r="D30">
        <f t="shared" si="1"/>
        <v>0.18483704240809767</v>
      </c>
      <c r="E30">
        <f t="shared" si="0"/>
        <v>0.1840199257722212</v>
      </c>
      <c r="F30">
        <f t="shared" si="0"/>
        <v>0.15381110842121287</v>
      </c>
      <c r="G30">
        <f t="shared" si="0"/>
        <v>0.20655399564609542</v>
      </c>
      <c r="H30">
        <f t="shared" si="0"/>
        <v>0.19743100981729492</v>
      </c>
      <c r="I30">
        <f t="shared" si="0"/>
        <v>0.19735080203930261</v>
      </c>
      <c r="J30">
        <f t="shared" si="0"/>
        <v>0.17211489724357942</v>
      </c>
      <c r="K30">
        <f t="shared" si="0"/>
        <v>0.16913903887150181</v>
      </c>
      <c r="L30">
        <f t="shared" si="0"/>
        <v>0.15663933989855006</v>
      </c>
      <c r="M30">
        <f t="shared" si="0"/>
        <v>0.19450350967759192</v>
      </c>
      <c r="N30">
        <f t="shared" si="0"/>
        <v>0.2071741149203189</v>
      </c>
      <c r="O30">
        <f t="shared" si="0"/>
        <v>0.19762504726409783</v>
      </c>
      <c r="P30">
        <f t="shared" si="0"/>
        <v>0.15199208572479656</v>
      </c>
      <c r="Q30">
        <f t="shared" si="0"/>
        <v>0.2057273434909847</v>
      </c>
      <c r="R30">
        <f t="shared" si="0"/>
        <v>0.15074605157398752</v>
      </c>
      <c r="S30">
        <f t="shared" si="0"/>
        <v>0.16394596758003169</v>
      </c>
      <c r="T30">
        <f t="shared" si="0"/>
        <v>0.21153231578343626</v>
      </c>
      <c r="U30">
        <f t="shared" si="0"/>
        <v>0.14975745359421047</v>
      </c>
      <c r="V30">
        <f t="shared" si="0"/>
        <v>0.20946023162118388</v>
      </c>
      <c r="W30">
        <f t="shared" si="0"/>
        <v>0.21021173784180869</v>
      </c>
      <c r="X30">
        <f t="shared" si="0"/>
        <v>0.19807766054400128</v>
      </c>
      <c r="Y30">
        <f t="shared" si="0"/>
        <v>0.13371412709864616</v>
      </c>
      <c r="Z30">
        <f t="shared" si="0"/>
        <v>0.13936345872303471</v>
      </c>
      <c r="AA30">
        <f t="shared" si="0"/>
        <v>0.12689910978975544</v>
      </c>
      <c r="AB30">
        <f t="shared" si="0"/>
        <v>0.20383558990892145</v>
      </c>
      <c r="AC30">
        <f t="shared" si="0"/>
        <v>0.19260255937623311</v>
      </c>
      <c r="AD30">
        <f t="shared" si="0"/>
        <v>0.20643888494376975</v>
      </c>
    </row>
    <row r="31" spans="3:30" x14ac:dyDescent="0.35">
      <c r="C31" s="3" t="s">
        <v>23</v>
      </c>
      <c r="D31">
        <f t="shared" si="1"/>
        <v>0.17622670417162462</v>
      </c>
      <c r="E31">
        <f t="shared" si="0"/>
        <v>0.17227513254964716</v>
      </c>
      <c r="F31">
        <f t="shared" si="0"/>
        <v>0.15197034966322215</v>
      </c>
      <c r="G31">
        <f t="shared" si="0"/>
        <v>0.19249281977387858</v>
      </c>
      <c r="H31">
        <f t="shared" si="0"/>
        <v>0.18807845486657795</v>
      </c>
      <c r="I31">
        <f t="shared" si="0"/>
        <v>0.19688808092170459</v>
      </c>
      <c r="J31">
        <f t="shared" si="0"/>
        <v>0.12178136739420445</v>
      </c>
      <c r="K31">
        <f t="shared" si="0"/>
        <v>0.14243644659281873</v>
      </c>
      <c r="L31">
        <f t="shared" si="0"/>
        <v>0.15514192049460521</v>
      </c>
      <c r="M31">
        <f t="shared" si="0"/>
        <v>0.18425835620639924</v>
      </c>
      <c r="N31">
        <f t="shared" si="0"/>
        <v>0.18282978858739868</v>
      </c>
      <c r="O31">
        <f t="shared" si="0"/>
        <v>0.19747692834420913</v>
      </c>
      <c r="P31">
        <f t="shared" si="0"/>
        <v>0.15344671399953211</v>
      </c>
      <c r="Q31">
        <f t="shared" si="0"/>
        <v>0.18806454505805156</v>
      </c>
      <c r="R31">
        <f t="shared" si="0"/>
        <v>0.17536076658707073</v>
      </c>
      <c r="S31">
        <f t="shared" si="0"/>
        <v>0.15648594752304151</v>
      </c>
      <c r="T31">
        <f t="shared" si="0"/>
        <v>0.19052806975648523</v>
      </c>
      <c r="U31">
        <f t="shared" si="0"/>
        <v>0.15417715804272986</v>
      </c>
      <c r="V31">
        <f t="shared" si="0"/>
        <v>0.19414625877148264</v>
      </c>
      <c r="W31">
        <f t="shared" si="0"/>
        <v>0.20304383384351468</v>
      </c>
      <c r="X31">
        <f t="shared" si="0"/>
        <v>0.19649934587852527</v>
      </c>
      <c r="Y31">
        <f t="shared" si="0"/>
        <v>0.10127354825861785</v>
      </c>
      <c r="Z31">
        <f t="shared" si="0"/>
        <v>0.1362699122169905</v>
      </c>
      <c r="AA31">
        <f t="shared" si="0"/>
        <v>0.13417380516325494</v>
      </c>
      <c r="AB31">
        <f t="shared" si="0"/>
        <v>0.1832309346884641</v>
      </c>
      <c r="AC31">
        <f t="shared" si="0"/>
        <v>0.18357480967009554</v>
      </c>
      <c r="AD31">
        <f t="shared" si="0"/>
        <v>0.20195488691768318</v>
      </c>
    </row>
    <row r="32" spans="3:30" x14ac:dyDescent="0.35">
      <c r="C32" s="2" t="s">
        <v>24</v>
      </c>
      <c r="D32">
        <f t="shared" si="1"/>
        <v>0.13737758096803679</v>
      </c>
      <c r="E32">
        <f t="shared" si="0"/>
        <v>8.1851201746187693E-2</v>
      </c>
      <c r="F32">
        <f t="shared" si="0"/>
        <v>0.12946060073267812</v>
      </c>
      <c r="G32">
        <f t="shared" si="0"/>
        <v>0.1200630410605516</v>
      </c>
      <c r="H32">
        <f t="shared" si="0"/>
        <v>0.12166070307870451</v>
      </c>
      <c r="I32">
        <f t="shared" si="0"/>
        <v>6.6760933201844855E-2</v>
      </c>
      <c r="J32">
        <f t="shared" si="0"/>
        <v>0.1493408318025673</v>
      </c>
      <c r="K32">
        <f t="shared" si="0"/>
        <v>0.1060781029192453</v>
      </c>
      <c r="L32">
        <f t="shared" si="0"/>
        <v>0.12898562035495237</v>
      </c>
      <c r="M32">
        <f t="shared" si="0"/>
        <v>4.7748397068269527E-2</v>
      </c>
      <c r="N32">
        <f t="shared" si="0"/>
        <v>9.814829901740682E-2</v>
      </c>
      <c r="O32">
        <f t="shared" si="0"/>
        <v>7.0368197085016113E-2</v>
      </c>
      <c r="P32">
        <f t="shared" si="0"/>
        <v>0.11142319349180897</v>
      </c>
      <c r="Q32">
        <f t="shared" si="0"/>
        <v>5.5268011319329194E-2</v>
      </c>
      <c r="R32">
        <f t="shared" si="0"/>
        <v>7.3842950982306699E-2</v>
      </c>
      <c r="S32">
        <f t="shared" si="0"/>
        <v>0.13584539034296048</v>
      </c>
      <c r="T32">
        <f t="shared" si="0"/>
        <v>7.2150234569457503E-2</v>
      </c>
      <c r="U32">
        <f t="shared" si="0"/>
        <v>0.12958581127119395</v>
      </c>
      <c r="V32">
        <f t="shared" si="0"/>
        <v>8.9689114730465924E-2</v>
      </c>
      <c r="W32">
        <f t="shared" si="0"/>
        <v>0.1014222188590513</v>
      </c>
      <c r="X32">
        <f t="shared" si="0"/>
        <v>7.0141543805177189E-2</v>
      </c>
      <c r="Y32">
        <f t="shared" si="0"/>
        <v>0.11946881620070528</v>
      </c>
      <c r="Z32">
        <f t="shared" si="0"/>
        <v>0.11917758562971982</v>
      </c>
      <c r="AA32">
        <f t="shared" si="0"/>
        <v>7.9514925883225979E-2</v>
      </c>
      <c r="AB32">
        <f t="shared" si="0"/>
        <v>9.5005854960462197E-2</v>
      </c>
      <c r="AC32">
        <f t="shared" si="0"/>
        <v>9.6797888057721382E-2</v>
      </c>
      <c r="AD32">
        <f t="shared" si="0"/>
        <v>7.0613827663604037E-2</v>
      </c>
    </row>
    <row r="33" spans="3:30" x14ac:dyDescent="0.35">
      <c r="C33" s="3" t="s">
        <v>3</v>
      </c>
      <c r="D33">
        <f t="shared" si="1"/>
        <v>9.4908140872495439E-2</v>
      </c>
      <c r="E33">
        <f t="shared" si="0"/>
        <v>0.10414162059677677</v>
      </c>
      <c r="F33">
        <f t="shared" si="0"/>
        <v>5.9833662308379804E-2</v>
      </c>
      <c r="G33">
        <f t="shared" si="0"/>
        <v>9.1036186983723844E-2</v>
      </c>
      <c r="H33">
        <f t="shared" si="0"/>
        <v>7.1478828276006601E-2</v>
      </c>
      <c r="I33">
        <f t="shared" si="0"/>
        <v>0.10604265257510773</v>
      </c>
      <c r="J33">
        <f t="shared" si="0"/>
        <v>4.0542230499389154E-2</v>
      </c>
      <c r="K33">
        <f t="shared" si="0"/>
        <v>2.1574476424748155E-2</v>
      </c>
      <c r="L33">
        <f t="shared" si="0"/>
        <v>6.3177732496988534E-2</v>
      </c>
      <c r="M33">
        <f t="shared" si="0"/>
        <v>9.1876582270067703E-2</v>
      </c>
      <c r="N33">
        <f t="shared" si="0"/>
        <v>7.5961241471609195E-2</v>
      </c>
      <c r="O33">
        <f t="shared" si="0"/>
        <v>0.10576686757831963</v>
      </c>
      <c r="P33">
        <f t="shared" si="0"/>
        <v>9.4351583882258755E-2</v>
      </c>
      <c r="Q33">
        <f t="shared" si="0"/>
        <v>0.16060413555177275</v>
      </c>
      <c r="R33">
        <f t="shared" si="0"/>
        <v>0.12688160312614669</v>
      </c>
      <c r="S33">
        <f t="shared" si="0"/>
        <v>6.5006602918228851E-2</v>
      </c>
      <c r="T33">
        <f t="shared" si="0"/>
        <v>0.13582730696485079</v>
      </c>
      <c r="U33">
        <f t="shared" si="0"/>
        <v>2.8603621935757106E-2</v>
      </c>
      <c r="V33">
        <f t="shared" si="0"/>
        <v>0.12031926422486384</v>
      </c>
      <c r="W33">
        <f t="shared" si="0"/>
        <v>0.11469027919900056</v>
      </c>
      <c r="X33">
        <f t="shared" si="0"/>
        <v>0.10754748493407877</v>
      </c>
      <c r="Y33">
        <f t="shared" si="0"/>
        <v>4.5773699796816947E-2</v>
      </c>
      <c r="Z33">
        <f t="shared" si="0"/>
        <v>6.2553502426729315E-2</v>
      </c>
      <c r="AA33">
        <f t="shared" si="0"/>
        <v>5.8440640719033703E-2</v>
      </c>
      <c r="AB33">
        <f t="shared" si="0"/>
        <v>0.10270790475687058</v>
      </c>
      <c r="AC33">
        <f t="shared" si="0"/>
        <v>8.2167381544438242E-2</v>
      </c>
      <c r="AD33">
        <f t="shared" si="0"/>
        <v>0.12107356947357421</v>
      </c>
    </row>
    <row r="34" spans="3:30" x14ac:dyDescent="0.35">
      <c r="C34" s="2" t="s">
        <v>4</v>
      </c>
      <c r="D34">
        <f t="shared" si="1"/>
        <v>6.1046569788175076E-2</v>
      </c>
      <c r="E34">
        <f t="shared" si="0"/>
        <v>9.3862257426831519E-2</v>
      </c>
      <c r="F34">
        <f t="shared" si="0"/>
        <v>0.12822402931926449</v>
      </c>
      <c r="G34">
        <f t="shared" si="0"/>
        <v>0.15439081119973785</v>
      </c>
      <c r="H34">
        <f t="shared" si="0"/>
        <v>0.16300840104650832</v>
      </c>
      <c r="I34">
        <f t="shared" si="0"/>
        <v>0.14198077918603491</v>
      </c>
      <c r="J34">
        <f t="shared" si="0"/>
        <v>7.4579747731345E-2</v>
      </c>
      <c r="K34">
        <f t="shared" si="0"/>
        <v>5.6505092086226977E-2</v>
      </c>
      <c r="L34">
        <f t="shared" si="0"/>
        <v>0.12490335622613109</v>
      </c>
      <c r="M34">
        <f t="shared" si="0"/>
        <v>0.16249909866572707</v>
      </c>
      <c r="N34">
        <f t="shared" si="0"/>
        <v>0.18482738114746419</v>
      </c>
      <c r="O34">
        <f t="shared" si="0"/>
        <v>0.14086991694586393</v>
      </c>
      <c r="P34">
        <f t="shared" si="0"/>
        <v>2.1924367078171175E-2</v>
      </c>
      <c r="Q34">
        <f t="shared" si="0"/>
        <v>0.17256802443438876</v>
      </c>
      <c r="R34">
        <f t="shared" si="0"/>
        <v>4.8303152532529281E-3</v>
      </c>
      <c r="S34">
        <f t="shared" si="0"/>
        <v>0.13128840379377266</v>
      </c>
      <c r="T34">
        <f t="shared" si="0"/>
        <v>0.11931625744563688</v>
      </c>
      <c r="U34">
        <f t="shared" si="0"/>
        <v>0.1169733011683602</v>
      </c>
      <c r="V34">
        <f t="shared" si="0"/>
        <v>0.13697830304946146</v>
      </c>
      <c r="W34">
        <f t="shared" si="0"/>
        <v>0.13787677233396278</v>
      </c>
      <c r="X34">
        <f t="shared" si="0"/>
        <v>0.14260361931190002</v>
      </c>
      <c r="Y34">
        <f t="shared" si="0"/>
        <v>0.11021826647838416</v>
      </c>
      <c r="Z34">
        <f t="shared" si="0"/>
        <v>4.2005708289727481E-2</v>
      </c>
      <c r="AA34">
        <f t="shared" si="0"/>
        <v>0.13846074722938159</v>
      </c>
      <c r="AB34">
        <f t="shared" si="0"/>
        <v>0.1541240215244058</v>
      </c>
      <c r="AC34">
        <f t="shared" si="0"/>
        <v>0.12088477407413682</v>
      </c>
      <c r="AD34">
        <f t="shared" si="0"/>
        <v>0.15416886346402214</v>
      </c>
    </row>
    <row r="35" spans="3:30" x14ac:dyDescent="0.35">
      <c r="C35" s="3" t="s">
        <v>6</v>
      </c>
      <c r="D35">
        <f t="shared" si="1"/>
        <v>9.3242741584839944E-2</v>
      </c>
      <c r="E35">
        <f t="shared" si="0"/>
        <v>6.9875990680648883E-2</v>
      </c>
      <c r="F35">
        <f t="shared" si="0"/>
        <v>4.160808999861277E-2</v>
      </c>
      <c r="G35">
        <f t="shared" si="0"/>
        <v>0.10261961386191724</v>
      </c>
      <c r="H35">
        <f t="shared" si="0"/>
        <v>0.10333880991053168</v>
      </c>
      <c r="I35">
        <f t="shared" si="0"/>
        <v>0.10044830763589101</v>
      </c>
      <c r="J35">
        <f t="shared" si="0"/>
        <v>5.605228585696171E-2</v>
      </c>
      <c r="K35">
        <f t="shared" si="0"/>
        <v>6.0939531470611916E-2</v>
      </c>
      <c r="L35">
        <f t="shared" si="0"/>
        <v>4.4095764475041023E-2</v>
      </c>
      <c r="M35">
        <f t="shared" si="0"/>
        <v>0.10113538385998938</v>
      </c>
      <c r="N35">
        <f t="shared" si="0"/>
        <v>0.10733653484568477</v>
      </c>
      <c r="O35">
        <f t="shared" si="0"/>
        <v>0.10091602638556524</v>
      </c>
      <c r="P35">
        <f t="shared" si="0"/>
        <v>0.14408095765768009</v>
      </c>
      <c r="Q35">
        <f t="shared" si="0"/>
        <v>0.13657326415305632</v>
      </c>
      <c r="R35">
        <f t="shared" si="0"/>
        <v>0.16043006231116069</v>
      </c>
      <c r="S35">
        <f t="shared" si="0"/>
        <v>2.2912361416891736E-2</v>
      </c>
      <c r="T35">
        <f t="shared" si="0"/>
        <v>0.10058888505697834</v>
      </c>
      <c r="U35">
        <f t="shared" si="0"/>
        <v>6.9680070523455914E-2</v>
      </c>
      <c r="V35">
        <f t="shared" si="0"/>
        <v>0.10242627073629841</v>
      </c>
      <c r="W35">
        <f t="shared" si="0"/>
        <v>0.10451450339546803</v>
      </c>
      <c r="X35">
        <f t="shared" si="0"/>
        <v>0.10223815653362105</v>
      </c>
      <c r="Y35">
        <f t="shared" si="0"/>
        <v>4.5959575753083709E-2</v>
      </c>
      <c r="Z35">
        <f t="shared" si="0"/>
        <v>6.7796002052612145E-2</v>
      </c>
      <c r="AA35">
        <f t="shared" si="0"/>
        <v>6.0084518519370446E-2</v>
      </c>
      <c r="AB35">
        <f t="shared" si="0"/>
        <v>9.2524526012279312E-2</v>
      </c>
      <c r="AC35">
        <f t="shared" si="0"/>
        <v>6.9850913146295157E-2</v>
      </c>
      <c r="AD35">
        <f t="shared" si="0"/>
        <v>0.10359954865598885</v>
      </c>
    </row>
    <row r="36" spans="3:30" x14ac:dyDescent="0.35">
      <c r="C36" s="2" t="s">
        <v>5</v>
      </c>
      <c r="D36">
        <f t="shared" si="1"/>
        <v>0.18697732357442093</v>
      </c>
      <c r="E36">
        <f t="shared" si="0"/>
        <v>0.20451083914066853</v>
      </c>
      <c r="F36">
        <f t="shared" si="0"/>
        <v>0.16634823271379201</v>
      </c>
      <c r="G36">
        <f t="shared" si="0"/>
        <v>0.19305700017411517</v>
      </c>
      <c r="H36">
        <f t="shared" si="0"/>
        <v>0.18988894008338955</v>
      </c>
      <c r="I36">
        <f t="shared" si="0"/>
        <v>0.18777298103412216</v>
      </c>
      <c r="J36">
        <f t="shared" si="0"/>
        <v>0.19070605037019095</v>
      </c>
      <c r="K36">
        <f t="shared" si="0"/>
        <v>0.19646053791200893</v>
      </c>
      <c r="L36">
        <f t="shared" si="0"/>
        <v>0.16690608257779704</v>
      </c>
      <c r="M36">
        <f t="shared" si="0"/>
        <v>0.18124982820879279</v>
      </c>
      <c r="N36">
        <f t="shared" si="0"/>
        <v>0.17136139491945027</v>
      </c>
      <c r="O36">
        <f t="shared" si="0"/>
        <v>0.18793312476738128</v>
      </c>
      <c r="P36">
        <f t="shared" si="0"/>
        <v>0.18502590980758696</v>
      </c>
      <c r="Q36">
        <f t="shared" si="0"/>
        <v>0.16795683582867532</v>
      </c>
      <c r="R36">
        <f t="shared" si="0"/>
        <v>0.16805510067915552</v>
      </c>
      <c r="S36">
        <f t="shared" si="0"/>
        <v>0.16849875096133235</v>
      </c>
      <c r="T36">
        <f t="shared" si="0"/>
        <v>0.20491235280947218</v>
      </c>
      <c r="U36">
        <f t="shared" si="0"/>
        <v>0.1698225377500254</v>
      </c>
      <c r="V36">
        <f t="shared" si="0"/>
        <v>0.20072209985272499</v>
      </c>
      <c r="W36">
        <f t="shared" si="0"/>
        <v>0.19303071305162658</v>
      </c>
      <c r="X36">
        <f t="shared" si="0"/>
        <v>0.18989527890923671</v>
      </c>
      <c r="Y36">
        <f t="shared" si="0"/>
        <v>0.15984660377901966</v>
      </c>
      <c r="Z36">
        <f t="shared" si="0"/>
        <v>0.16409864201396487</v>
      </c>
      <c r="AA36">
        <f t="shared" si="0"/>
        <v>0.14415270221293877</v>
      </c>
      <c r="AB36">
        <f t="shared" si="0"/>
        <v>0.1994522212017194</v>
      </c>
      <c r="AC36">
        <f t="shared" si="0"/>
        <v>0.18187819485267523</v>
      </c>
      <c r="AD36">
        <f t="shared" si="0"/>
        <v>0.19296375621289893</v>
      </c>
    </row>
    <row r="37" spans="3:30" x14ac:dyDescent="0.35">
      <c r="C37" s="3" t="s">
        <v>17</v>
      </c>
      <c r="D37">
        <f t="shared" si="1"/>
        <v>0.14928373777041254</v>
      </c>
      <c r="E37">
        <f t="shared" si="0"/>
        <v>0.17114735704741194</v>
      </c>
      <c r="F37">
        <f t="shared" si="0"/>
        <v>0.14416877056759345</v>
      </c>
      <c r="G37">
        <f t="shared" si="0"/>
        <v>0.14013755090731106</v>
      </c>
      <c r="H37">
        <f t="shared" si="0"/>
        <v>0.13539177623413692</v>
      </c>
      <c r="I37">
        <f t="shared" si="0"/>
        <v>0.15153619272196592</v>
      </c>
      <c r="J37">
        <f t="shared" si="0"/>
        <v>0.1112911711954403</v>
      </c>
      <c r="K37">
        <f t="shared" si="0"/>
        <v>0.13278071593454976</v>
      </c>
      <c r="L37">
        <f t="shared" si="0"/>
        <v>0.1451039062572955</v>
      </c>
      <c r="M37">
        <f t="shared" si="0"/>
        <v>0.13295463206922314</v>
      </c>
      <c r="N37">
        <f t="shared" si="0"/>
        <v>9.7792538241672208E-2</v>
      </c>
      <c r="O37">
        <f t="shared" si="0"/>
        <v>0.15177398514948831</v>
      </c>
      <c r="P37">
        <f t="shared" si="0"/>
        <v>0.14338570033893339</v>
      </c>
      <c r="Q37">
        <f t="shared" si="0"/>
        <v>0.15994173739952025</v>
      </c>
      <c r="R37">
        <f t="shared" si="0"/>
        <v>0.16158115867241918</v>
      </c>
      <c r="S37">
        <f t="shared" si="0"/>
        <v>0.14337193876306445</v>
      </c>
      <c r="T37">
        <f t="shared" si="0"/>
        <v>0.16008297337511382</v>
      </c>
      <c r="U37">
        <f t="shared" si="0"/>
        <v>0.14132335661292686</v>
      </c>
      <c r="V37">
        <f t="shared" si="0"/>
        <v>0.15626776977247739</v>
      </c>
      <c r="W37">
        <f t="shared" si="0"/>
        <v>0.15315345976935421</v>
      </c>
      <c r="X37">
        <f t="shared" si="0"/>
        <v>0.15256550165882488</v>
      </c>
      <c r="Y37">
        <f t="shared" si="0"/>
        <v>0.11154839332160997</v>
      </c>
      <c r="Z37">
        <f t="shared" si="0"/>
        <v>0.11162468021174843</v>
      </c>
      <c r="AA37">
        <f t="shared" si="0"/>
        <v>0.14062441989531121</v>
      </c>
      <c r="AB37">
        <f t="shared" si="0"/>
        <v>0.14679886835162048</v>
      </c>
      <c r="AC37">
        <f t="shared" si="0"/>
        <v>0.14118727988261479</v>
      </c>
      <c r="AD37">
        <f t="shared" si="0"/>
        <v>0.15869321604623998</v>
      </c>
    </row>
    <row r="38" spans="3:30" x14ac:dyDescent="0.35">
      <c r="C38" s="2" t="s">
        <v>21</v>
      </c>
      <c r="D38">
        <f t="shared" si="1"/>
        <v>0.17847430505546646</v>
      </c>
      <c r="E38">
        <f t="shared" si="0"/>
        <v>0.17917989507026172</v>
      </c>
      <c r="F38">
        <f t="shared" si="0"/>
        <v>0.17886024041681903</v>
      </c>
      <c r="G38">
        <f t="shared" si="0"/>
        <v>0.16856465100030046</v>
      </c>
      <c r="H38">
        <f t="shared" si="0"/>
        <v>0.16553829123670874</v>
      </c>
      <c r="I38">
        <f t="shared" si="0"/>
        <v>0.17438555820903948</v>
      </c>
      <c r="J38">
        <f t="shared" si="0"/>
        <v>0.15656979040128302</v>
      </c>
      <c r="K38">
        <f t="shared" si="0"/>
        <v>0.17955914313395405</v>
      </c>
      <c r="L38">
        <f t="shared" si="0"/>
        <v>0.18043598198000974</v>
      </c>
      <c r="M38">
        <f t="shared" si="0"/>
        <v>0.16440572338216208</v>
      </c>
      <c r="N38">
        <f t="shared" si="0"/>
        <v>0.16191688262955811</v>
      </c>
      <c r="O38">
        <f t="shared" ref="E38:AD48" si="2">SQRT(O12)</f>
        <v>0.17519759057697998</v>
      </c>
      <c r="P38">
        <f t="shared" si="2"/>
        <v>0.13594179589156602</v>
      </c>
      <c r="Q38">
        <f t="shared" si="2"/>
        <v>3.2108962939149249E-2</v>
      </c>
      <c r="R38">
        <f t="shared" si="2"/>
        <v>0.12955687228618595</v>
      </c>
      <c r="S38">
        <f t="shared" si="2"/>
        <v>0.17954940766741923</v>
      </c>
      <c r="T38">
        <f t="shared" si="2"/>
        <v>0.14235145554632767</v>
      </c>
      <c r="U38">
        <f t="shared" si="2"/>
        <v>0.19194734405539896</v>
      </c>
      <c r="V38">
        <f t="shared" si="2"/>
        <v>0.16767036507839095</v>
      </c>
      <c r="W38">
        <f t="shared" si="2"/>
        <v>0.17983094193386326</v>
      </c>
      <c r="X38">
        <f t="shared" si="2"/>
        <v>0.17283974228882604</v>
      </c>
      <c r="Y38">
        <f t="shared" si="2"/>
        <v>0.12607468142241446</v>
      </c>
      <c r="Z38">
        <f t="shared" si="2"/>
        <v>0.15801811074656347</v>
      </c>
      <c r="AA38">
        <f t="shared" si="2"/>
        <v>0.14950139438091037</v>
      </c>
      <c r="AB38">
        <f t="shared" si="2"/>
        <v>0.15776485403061291</v>
      </c>
      <c r="AC38">
        <f t="shared" si="2"/>
        <v>0.17550121803209201</v>
      </c>
      <c r="AD38">
        <f t="shared" si="2"/>
        <v>0.1701707629798192</v>
      </c>
    </row>
    <row r="39" spans="3:30" x14ac:dyDescent="0.35">
      <c r="C39" s="3" t="s">
        <v>2</v>
      </c>
      <c r="D39">
        <f t="shared" si="1"/>
        <v>0.17324615598310603</v>
      </c>
      <c r="E39">
        <f t="shared" si="2"/>
        <v>0.19493689174593837</v>
      </c>
      <c r="F39">
        <f t="shared" si="2"/>
        <v>0.16326280873302651</v>
      </c>
      <c r="G39">
        <f t="shared" si="2"/>
        <v>0.1794915797630017</v>
      </c>
      <c r="H39">
        <f t="shared" si="2"/>
        <v>0.17141634240980497</v>
      </c>
      <c r="I39">
        <f t="shared" si="2"/>
        <v>0.19706844296377871</v>
      </c>
      <c r="J39">
        <f t="shared" si="2"/>
        <v>0.17288894970389665</v>
      </c>
      <c r="K39">
        <f t="shared" si="2"/>
        <v>0.19328104271285118</v>
      </c>
      <c r="L39">
        <f t="shared" si="2"/>
        <v>0.16358710581721683</v>
      </c>
      <c r="M39">
        <f t="shared" si="2"/>
        <v>0.18765183619413933</v>
      </c>
      <c r="N39">
        <f t="shared" si="2"/>
        <v>0.15095159064788585</v>
      </c>
      <c r="O39">
        <f t="shared" si="2"/>
        <v>0.19659107413614407</v>
      </c>
      <c r="P39">
        <f t="shared" si="2"/>
        <v>0.19408450446730671</v>
      </c>
      <c r="Q39">
        <f t="shared" si="2"/>
        <v>0.19814170684584809</v>
      </c>
      <c r="R39">
        <f t="shared" si="2"/>
        <v>0.19518756501075191</v>
      </c>
      <c r="S39">
        <f t="shared" si="2"/>
        <v>0.16522455803625441</v>
      </c>
      <c r="T39">
        <f t="shared" si="2"/>
        <v>0.21235169688062089</v>
      </c>
      <c r="U39">
        <f t="shared" si="2"/>
        <v>0.15795596510361645</v>
      </c>
      <c r="V39">
        <f t="shared" si="2"/>
        <v>0.20629768559842135</v>
      </c>
      <c r="W39">
        <f t="shared" si="2"/>
        <v>0.1941525906527044</v>
      </c>
      <c r="X39">
        <f t="shared" si="2"/>
        <v>0.19772394641954144</v>
      </c>
      <c r="Y39">
        <f t="shared" si="2"/>
        <v>0.1737967352858393</v>
      </c>
      <c r="Z39">
        <f t="shared" si="2"/>
        <v>0.16901940467775114</v>
      </c>
      <c r="AA39">
        <f t="shared" si="2"/>
        <v>0.18163693173108902</v>
      </c>
      <c r="AB39">
        <f t="shared" si="2"/>
        <v>0.20050642903750518</v>
      </c>
      <c r="AC39">
        <f t="shared" si="2"/>
        <v>0.19419928921327878</v>
      </c>
      <c r="AD39">
        <f t="shared" si="2"/>
        <v>0.19701923728389317</v>
      </c>
    </row>
    <row r="40" spans="3:30" x14ac:dyDescent="0.35">
      <c r="C40" s="2" t="s">
        <v>7</v>
      </c>
      <c r="D40">
        <f t="shared" si="1"/>
        <v>8.6879832261341869E-2</v>
      </c>
      <c r="E40">
        <f t="shared" si="2"/>
        <v>9.4603713918131674E-2</v>
      </c>
      <c r="F40">
        <f t="shared" si="2"/>
        <v>4.3024168599562852E-2</v>
      </c>
      <c r="G40">
        <f t="shared" si="2"/>
        <v>0.14590336567450424</v>
      </c>
      <c r="H40">
        <f t="shared" si="2"/>
        <v>0.1492886846099804</v>
      </c>
      <c r="I40">
        <f t="shared" si="2"/>
        <v>0.16003630313941053</v>
      </c>
      <c r="J40">
        <f t="shared" si="2"/>
        <v>6.4563204620914763E-2</v>
      </c>
      <c r="K40">
        <f t="shared" si="2"/>
        <v>0.10498459550650657</v>
      </c>
      <c r="L40">
        <f t="shared" si="2"/>
        <v>4.9762628023253055E-2</v>
      </c>
      <c r="M40">
        <f t="shared" si="2"/>
        <v>0.16429122459829282</v>
      </c>
      <c r="N40">
        <f t="shared" si="2"/>
        <v>0.15838561795028203</v>
      </c>
      <c r="O40">
        <f t="shared" si="2"/>
        <v>0.15951666107374457</v>
      </c>
      <c r="P40">
        <f t="shared" si="2"/>
        <v>0.1064359854224787</v>
      </c>
      <c r="Q40">
        <f t="shared" si="2"/>
        <v>8.7604958395683288E-2</v>
      </c>
      <c r="R40">
        <f t="shared" si="2"/>
        <v>9.9905527702646463E-2</v>
      </c>
      <c r="S40">
        <f t="shared" si="2"/>
        <v>4.3049787953603209E-2</v>
      </c>
      <c r="T40">
        <f t="shared" si="2"/>
        <v>0.14085680405499587</v>
      </c>
      <c r="U40">
        <f t="shared" si="2"/>
        <v>5.8353402510424188E-2</v>
      </c>
      <c r="V40">
        <f t="shared" si="2"/>
        <v>0.14553785479310666</v>
      </c>
      <c r="W40">
        <f t="shared" si="2"/>
        <v>0.1504824037869488</v>
      </c>
      <c r="X40">
        <f t="shared" si="2"/>
        <v>0.15811632211663318</v>
      </c>
      <c r="Y40">
        <f t="shared" si="2"/>
        <v>8.0657454401448905E-2</v>
      </c>
      <c r="Z40">
        <f t="shared" si="2"/>
        <v>0.12784047607741414</v>
      </c>
      <c r="AA40">
        <f t="shared" si="2"/>
        <v>9.3859456548838482E-2</v>
      </c>
      <c r="AB40">
        <f t="shared" si="2"/>
        <v>0.14842930774874313</v>
      </c>
      <c r="AC40">
        <f t="shared" si="2"/>
        <v>0.15417777383396641</v>
      </c>
      <c r="AD40">
        <f t="shared" si="2"/>
        <v>0.15402657898872585</v>
      </c>
    </row>
    <row r="41" spans="3:30" x14ac:dyDescent="0.35">
      <c r="C41" s="3" t="s">
        <v>9</v>
      </c>
      <c r="D41">
        <f t="shared" si="1"/>
        <v>0.14737363255852859</v>
      </c>
      <c r="E41">
        <f t="shared" si="2"/>
        <v>0.1319758478236969</v>
      </c>
      <c r="F41">
        <f t="shared" si="2"/>
        <v>0.16959825210928561</v>
      </c>
      <c r="G41">
        <f t="shared" si="2"/>
        <v>0.12831710331139259</v>
      </c>
      <c r="H41">
        <f t="shared" si="2"/>
        <v>0.1281008942013673</v>
      </c>
      <c r="I41">
        <f t="shared" si="2"/>
        <v>0.1362273893968933</v>
      </c>
      <c r="J41">
        <f t="shared" si="2"/>
        <v>0.17013326592391478</v>
      </c>
      <c r="K41">
        <f t="shared" si="2"/>
        <v>0.17452239170262279</v>
      </c>
      <c r="L41">
        <f t="shared" si="2"/>
        <v>0.16771142129721608</v>
      </c>
      <c r="M41">
        <f t="shared" si="2"/>
        <v>0.12644660067180177</v>
      </c>
      <c r="N41">
        <f t="shared" si="2"/>
        <v>9.9267095410984038E-2</v>
      </c>
      <c r="O41">
        <f t="shared" si="2"/>
        <v>0.13737799522044422</v>
      </c>
      <c r="P41">
        <f t="shared" si="2"/>
        <v>0.12697097253696493</v>
      </c>
      <c r="Q41">
        <f t="shared" si="2"/>
        <v>6.7338984945868097E-2</v>
      </c>
      <c r="R41">
        <f t="shared" si="2"/>
        <v>0.1142342580505034</v>
      </c>
      <c r="S41">
        <f t="shared" si="2"/>
        <v>0.17054720080153823</v>
      </c>
      <c r="T41">
        <f t="shared" si="2"/>
        <v>0.14117467877517023</v>
      </c>
      <c r="U41">
        <f t="shared" si="2"/>
        <v>0.17730087985496829</v>
      </c>
      <c r="V41">
        <f t="shared" si="2"/>
        <v>0.1301991198715241</v>
      </c>
      <c r="W41">
        <f t="shared" si="2"/>
        <v>0.13067840441377718</v>
      </c>
      <c r="X41">
        <f t="shared" si="2"/>
        <v>0.1352781691091253</v>
      </c>
      <c r="Y41">
        <f t="shared" si="2"/>
        <v>0.16976809258637207</v>
      </c>
      <c r="Z41">
        <f t="shared" si="2"/>
        <v>0.16734866149252794</v>
      </c>
      <c r="AA41">
        <f t="shared" si="2"/>
        <v>0.17192725922610497</v>
      </c>
      <c r="AB41">
        <f t="shared" si="2"/>
        <v>0.11673748605457117</v>
      </c>
      <c r="AC41">
        <f t="shared" si="2"/>
        <v>0.13950802015153643</v>
      </c>
      <c r="AD41">
        <f t="shared" si="2"/>
        <v>0.11615720003121159</v>
      </c>
    </row>
    <row r="42" spans="3:30" x14ac:dyDescent="0.35">
      <c r="C42" s="2" t="s">
        <v>10</v>
      </c>
      <c r="D42">
        <f t="shared" si="1"/>
        <v>0.18241649957141731</v>
      </c>
      <c r="E42">
        <f t="shared" si="2"/>
        <v>0.20394047509570482</v>
      </c>
      <c r="F42">
        <f t="shared" si="2"/>
        <v>0.16477605701939679</v>
      </c>
      <c r="G42">
        <f t="shared" si="2"/>
        <v>0.19125916703528775</v>
      </c>
      <c r="H42">
        <f t="shared" si="2"/>
        <v>0.18173188094092849</v>
      </c>
      <c r="I42">
        <f t="shared" si="2"/>
        <v>0.19728159352265712</v>
      </c>
      <c r="J42">
        <f t="shared" si="2"/>
        <v>0.17420628608816016</v>
      </c>
      <c r="K42">
        <f t="shared" si="2"/>
        <v>0.18538174986972422</v>
      </c>
      <c r="L42">
        <f t="shared" si="2"/>
        <v>0.1661748377703279</v>
      </c>
      <c r="M42">
        <f t="shared" si="2"/>
        <v>0.18559704237078942</v>
      </c>
      <c r="N42">
        <f t="shared" si="2"/>
        <v>0.16487772147004306</v>
      </c>
      <c r="O42">
        <f t="shared" si="2"/>
        <v>0.19699236095610381</v>
      </c>
      <c r="P42">
        <f t="shared" si="2"/>
        <v>0.17224490417544636</v>
      </c>
      <c r="Q42">
        <f t="shared" si="2"/>
        <v>0.20543371947187006</v>
      </c>
      <c r="R42">
        <f t="shared" si="2"/>
        <v>0.16425979370625424</v>
      </c>
      <c r="S42">
        <f t="shared" si="2"/>
        <v>0.17121696290804511</v>
      </c>
      <c r="T42">
        <f t="shared" si="2"/>
        <v>0.21241243417847364</v>
      </c>
      <c r="U42">
        <f t="shared" si="2"/>
        <v>0.15313046546904374</v>
      </c>
      <c r="V42">
        <f t="shared" si="2"/>
        <v>0.21169051361991731</v>
      </c>
      <c r="W42">
        <f t="shared" si="2"/>
        <v>0.20293596928798011</v>
      </c>
      <c r="X42">
        <f t="shared" si="2"/>
        <v>0.19832108933872286</v>
      </c>
      <c r="Y42">
        <f t="shared" si="2"/>
        <v>0.16464077133012467</v>
      </c>
      <c r="Z42">
        <f t="shared" si="2"/>
        <v>0.15617862013592065</v>
      </c>
      <c r="AA42">
        <f t="shared" si="2"/>
        <v>0.16957202183013681</v>
      </c>
      <c r="AB42">
        <f t="shared" si="2"/>
        <v>0.20872714874348136</v>
      </c>
      <c r="AC42">
        <f t="shared" si="2"/>
        <v>0.19908640694595098</v>
      </c>
      <c r="AD42">
        <f t="shared" si="2"/>
        <v>0.20431916646768752</v>
      </c>
    </row>
    <row r="43" spans="3:30" x14ac:dyDescent="0.35">
      <c r="C43" s="3" t="s">
        <v>11</v>
      </c>
      <c r="D43">
        <f t="shared" si="1"/>
        <v>0.12183346507838928</v>
      </c>
      <c r="E43">
        <f t="shared" si="2"/>
        <v>0.1250739190636693</v>
      </c>
      <c r="F43">
        <f t="shared" si="2"/>
        <v>0.11389035744642212</v>
      </c>
      <c r="G43">
        <f t="shared" si="2"/>
        <v>0.14180257365657084</v>
      </c>
      <c r="H43">
        <f t="shared" si="2"/>
        <v>0.14365896735945619</v>
      </c>
      <c r="I43">
        <f t="shared" si="2"/>
        <v>0.15326311196013379</v>
      </c>
      <c r="J43">
        <f t="shared" si="2"/>
        <v>5.2664560545443558E-2</v>
      </c>
      <c r="K43">
        <f t="shared" si="2"/>
        <v>9.5049018723640757E-2</v>
      </c>
      <c r="L43">
        <f t="shared" si="2"/>
        <v>0.11605357787785692</v>
      </c>
      <c r="M43">
        <f t="shared" si="2"/>
        <v>0.14293451201622617</v>
      </c>
      <c r="N43">
        <f t="shared" si="2"/>
        <v>0.13322346254905065</v>
      </c>
      <c r="O43">
        <f t="shared" si="2"/>
        <v>0.15381858352432096</v>
      </c>
      <c r="P43">
        <f t="shared" si="2"/>
        <v>9.8826732944170992E-2</v>
      </c>
      <c r="Q43">
        <f t="shared" si="2"/>
        <v>0.11690788334052585</v>
      </c>
      <c r="R43">
        <f t="shared" si="2"/>
        <v>0.13100443717845819</v>
      </c>
      <c r="S43">
        <f t="shared" si="2"/>
        <v>0.11225669228821415</v>
      </c>
      <c r="T43">
        <f t="shared" si="2"/>
        <v>0.13292583532712368</v>
      </c>
      <c r="U43">
        <f t="shared" si="2"/>
        <v>0.12306477413128096</v>
      </c>
      <c r="V43">
        <f t="shared" si="2"/>
        <v>0.13880331960881015</v>
      </c>
      <c r="W43">
        <f t="shared" si="2"/>
        <v>0.15034572666165771</v>
      </c>
      <c r="X43">
        <f t="shared" si="2"/>
        <v>0.15203342065283015</v>
      </c>
      <c r="Y43">
        <f t="shared" si="2"/>
        <v>5.9588676383131214E-2</v>
      </c>
      <c r="Z43">
        <f t="shared" si="2"/>
        <v>0.10568426496320869</v>
      </c>
      <c r="AA43">
        <f t="shared" si="2"/>
        <v>0.10777516430344099</v>
      </c>
      <c r="AB43">
        <f t="shared" si="2"/>
        <v>0.12797465150193571</v>
      </c>
      <c r="AC43">
        <f t="shared" si="2"/>
        <v>0.13685642402650122</v>
      </c>
      <c r="AD43">
        <f t="shared" si="2"/>
        <v>0.15267496839585099</v>
      </c>
    </row>
    <row r="44" spans="3:30" x14ac:dyDescent="0.35">
      <c r="C44" s="2" t="s">
        <v>12</v>
      </c>
      <c r="D44">
        <f t="shared" si="1"/>
        <v>0.12111845033688633</v>
      </c>
      <c r="E44">
        <f t="shared" si="2"/>
        <v>0.11725401529233402</v>
      </c>
      <c r="F44">
        <f t="shared" si="2"/>
        <v>0.11407661829458919</v>
      </c>
      <c r="G44">
        <f t="shared" si="2"/>
        <v>0.11645787981910842</v>
      </c>
      <c r="H44">
        <f t="shared" si="2"/>
        <v>0.11669998433628001</v>
      </c>
      <c r="I44">
        <f t="shared" si="2"/>
        <v>0.13998057188798774</v>
      </c>
      <c r="J44">
        <f t="shared" si="2"/>
        <v>5.4611063293522583E-2</v>
      </c>
      <c r="K44">
        <f t="shared" si="2"/>
        <v>0.1033863075372092</v>
      </c>
      <c r="L44">
        <f t="shared" si="2"/>
        <v>0.11535526931531477</v>
      </c>
      <c r="M44">
        <f t="shared" si="2"/>
        <v>0.11544075944800433</v>
      </c>
      <c r="N44">
        <f t="shared" si="2"/>
        <v>7.7222605998962635E-2</v>
      </c>
      <c r="O44">
        <f t="shared" si="2"/>
        <v>0.14046076142063699</v>
      </c>
      <c r="P44">
        <f t="shared" si="2"/>
        <v>0.12749829095309984</v>
      </c>
      <c r="Q44">
        <f t="shared" si="2"/>
        <v>8.8653151776251077E-2</v>
      </c>
      <c r="R44">
        <f t="shared" si="2"/>
        <v>0.14415991424982744</v>
      </c>
      <c r="S44">
        <f t="shared" si="2"/>
        <v>0.11392169102960024</v>
      </c>
      <c r="T44">
        <f t="shared" si="2"/>
        <v>0.11340227440600695</v>
      </c>
      <c r="U44">
        <f t="shared" si="2"/>
        <v>0.11504696276100339</v>
      </c>
      <c r="V44">
        <f t="shared" si="2"/>
        <v>0.12836306132418782</v>
      </c>
      <c r="W44">
        <f t="shared" si="2"/>
        <v>0.13707797218110537</v>
      </c>
      <c r="X44">
        <f t="shared" si="2"/>
        <v>0.13875236684731437</v>
      </c>
      <c r="Y44">
        <f t="shared" si="2"/>
        <v>8.6701000595955757E-2</v>
      </c>
      <c r="Z44">
        <f t="shared" si="2"/>
        <v>0.12221792694529596</v>
      </c>
      <c r="AA44">
        <f t="shared" si="2"/>
        <v>0.12571270881969412</v>
      </c>
      <c r="AB44">
        <f t="shared" si="2"/>
        <v>0.11843244634047588</v>
      </c>
      <c r="AC44">
        <f t="shared" si="2"/>
        <v>0.1339792441184656</v>
      </c>
      <c r="AD44">
        <f t="shared" si="2"/>
        <v>0.13468016668262331</v>
      </c>
    </row>
    <row r="45" spans="3:30" x14ac:dyDescent="0.35">
      <c r="C45" s="3" t="s">
        <v>13</v>
      </c>
      <c r="D45">
        <f t="shared" si="1"/>
        <v>0.17673805200003903</v>
      </c>
      <c r="E45">
        <f t="shared" si="2"/>
        <v>0.17968073938139278</v>
      </c>
      <c r="F45">
        <f t="shared" si="2"/>
        <v>0.16098057421561709</v>
      </c>
      <c r="G45">
        <f t="shared" si="2"/>
        <v>0.17568066613809016</v>
      </c>
      <c r="H45">
        <f t="shared" si="2"/>
        <v>0.16999045387013884</v>
      </c>
      <c r="I45">
        <f t="shared" si="2"/>
        <v>0.17733949530832099</v>
      </c>
      <c r="J45">
        <f t="shared" si="2"/>
        <v>0.14403174795038975</v>
      </c>
      <c r="K45">
        <f t="shared" si="2"/>
        <v>0.14021937193623069</v>
      </c>
      <c r="L45">
        <f t="shared" si="2"/>
        <v>0.16249580539827421</v>
      </c>
      <c r="M45">
        <f t="shared" si="2"/>
        <v>0.17105732601751292</v>
      </c>
      <c r="N45">
        <f t="shared" si="2"/>
        <v>0.15877853180430659</v>
      </c>
      <c r="O45">
        <f t="shared" si="2"/>
        <v>0.17772449728462139</v>
      </c>
      <c r="P45">
        <f t="shared" si="2"/>
        <v>0.14013358027839795</v>
      </c>
      <c r="Q45">
        <f t="shared" si="2"/>
        <v>0.15458400834907601</v>
      </c>
      <c r="R45">
        <f t="shared" si="2"/>
        <v>0.1335143505492713</v>
      </c>
      <c r="S45">
        <f t="shared" si="2"/>
        <v>0.157599117745087</v>
      </c>
      <c r="T45">
        <f t="shared" si="2"/>
        <v>0.18182421535587884</v>
      </c>
      <c r="U45">
        <f t="shared" si="2"/>
        <v>0.16276123511678511</v>
      </c>
      <c r="V45">
        <f t="shared" si="2"/>
        <v>0.18713784803951714</v>
      </c>
      <c r="W45">
        <f t="shared" si="2"/>
        <v>0.18522013854005778</v>
      </c>
      <c r="X45">
        <f t="shared" si="2"/>
        <v>0.1783700123735725</v>
      </c>
      <c r="Y45">
        <f t="shared" si="2"/>
        <v>0.12900512297206612</v>
      </c>
      <c r="Z45">
        <f t="shared" si="2"/>
        <v>0.13663106003885866</v>
      </c>
      <c r="AA45">
        <f t="shared" si="2"/>
        <v>0.14658801879798397</v>
      </c>
      <c r="AB45">
        <f t="shared" si="2"/>
        <v>0.17756253037339098</v>
      </c>
      <c r="AC45">
        <f t="shared" si="2"/>
        <v>0.17274547004654478</v>
      </c>
      <c r="AD45">
        <f t="shared" si="2"/>
        <v>0.18511307422715825</v>
      </c>
    </row>
    <row r="46" spans="3:30" x14ac:dyDescent="0.35">
      <c r="C46" s="2" t="s">
        <v>14</v>
      </c>
      <c r="D46">
        <f t="shared" si="1"/>
        <v>0.16355972265508339</v>
      </c>
      <c r="E46">
        <f t="shared" si="2"/>
        <v>0.18872642996301736</v>
      </c>
      <c r="F46">
        <f t="shared" si="2"/>
        <v>0.15666257140451575</v>
      </c>
      <c r="G46">
        <f t="shared" si="2"/>
        <v>0.17589229714753429</v>
      </c>
      <c r="H46">
        <f t="shared" si="2"/>
        <v>0.16969892363524025</v>
      </c>
      <c r="I46">
        <f t="shared" si="2"/>
        <v>0.19493455789954306</v>
      </c>
      <c r="J46">
        <f t="shared" si="2"/>
        <v>0.16393482264388826</v>
      </c>
      <c r="K46">
        <f t="shared" si="2"/>
        <v>0.18764558008917742</v>
      </c>
      <c r="L46">
        <f t="shared" si="2"/>
        <v>0.15693561701106348</v>
      </c>
      <c r="M46">
        <f t="shared" si="2"/>
        <v>0.18566199762618682</v>
      </c>
      <c r="N46">
        <f t="shared" si="2"/>
        <v>0.14737166810953725</v>
      </c>
      <c r="O46">
        <f t="shared" si="2"/>
        <v>0.19439310030398763</v>
      </c>
      <c r="P46">
        <f t="shared" si="2"/>
        <v>0.18564396611759484</v>
      </c>
      <c r="Q46">
        <f t="shared" si="2"/>
        <v>0.18673508716294454</v>
      </c>
      <c r="R46">
        <f t="shared" si="2"/>
        <v>0.18642721506677104</v>
      </c>
      <c r="S46">
        <f t="shared" si="2"/>
        <v>0.15797766445418923</v>
      </c>
      <c r="T46">
        <f t="shared" si="2"/>
        <v>0.20163950856387916</v>
      </c>
      <c r="U46">
        <f t="shared" si="2"/>
        <v>0.15185212071537033</v>
      </c>
      <c r="V46">
        <f t="shared" si="2"/>
        <v>0.20155878614925299</v>
      </c>
      <c r="W46">
        <f t="shared" si="2"/>
        <v>0.19032043351979708</v>
      </c>
      <c r="X46">
        <f t="shared" si="2"/>
        <v>0.19524416869270514</v>
      </c>
      <c r="Y46">
        <f t="shared" si="2"/>
        <v>0.16979192761698006</v>
      </c>
      <c r="Z46">
        <f t="shared" si="2"/>
        <v>0.16803048924417466</v>
      </c>
      <c r="AA46">
        <f t="shared" si="2"/>
        <v>0.17918603425276788</v>
      </c>
      <c r="AB46">
        <f t="shared" si="2"/>
        <v>0.19778444828298711</v>
      </c>
      <c r="AC46">
        <f t="shared" si="2"/>
        <v>0.19392742761620776</v>
      </c>
      <c r="AD46">
        <f t="shared" si="2"/>
        <v>0.19392569817557651</v>
      </c>
    </row>
    <row r="47" spans="3:30" x14ac:dyDescent="0.35">
      <c r="C47" s="3" t="s">
        <v>15</v>
      </c>
      <c r="D47">
        <f t="shared" si="1"/>
        <v>0.12684229885846951</v>
      </c>
      <c r="E47">
        <f t="shared" si="2"/>
        <v>7.8549293305303525E-2</v>
      </c>
      <c r="F47">
        <f t="shared" si="2"/>
        <v>0.12979569168658411</v>
      </c>
      <c r="G47">
        <f t="shared" si="2"/>
        <v>8.9655478116111118E-2</v>
      </c>
      <c r="H47">
        <f t="shared" si="2"/>
        <v>9.6492741338050247E-2</v>
      </c>
      <c r="I47">
        <f t="shared" si="2"/>
        <v>0.10486720692798344</v>
      </c>
      <c r="J47">
        <f t="shared" si="2"/>
        <v>8.5813756469591981E-2</v>
      </c>
      <c r="K47">
        <f t="shared" si="2"/>
        <v>8.5716964156943173E-2</v>
      </c>
      <c r="L47">
        <f t="shared" si="2"/>
        <v>0.12930481612768721</v>
      </c>
      <c r="M47">
        <f t="shared" si="2"/>
        <v>7.6336504261501265E-2</v>
      </c>
      <c r="N47">
        <f t="shared" si="2"/>
        <v>4.8528770428801098E-2</v>
      </c>
      <c r="O47">
        <f t="shared" si="2"/>
        <v>0.10627924005618643</v>
      </c>
      <c r="P47">
        <f t="shared" si="2"/>
        <v>0.16276787027181991</v>
      </c>
      <c r="Q47">
        <f t="shared" si="2"/>
        <v>6.823103776337254E-2</v>
      </c>
      <c r="R47">
        <f t="shared" si="2"/>
        <v>0.1798949316568941</v>
      </c>
      <c r="S47">
        <f t="shared" si="2"/>
        <v>0.12286197859010776</v>
      </c>
      <c r="T47">
        <f t="shared" si="2"/>
        <v>8.7817657601066718E-2</v>
      </c>
      <c r="U47">
        <f t="shared" si="2"/>
        <v>0.133296507354143</v>
      </c>
      <c r="V47">
        <f t="shared" si="2"/>
        <v>9.4491300721703156E-2</v>
      </c>
      <c r="W47">
        <f t="shared" si="2"/>
        <v>0.10212488709161348</v>
      </c>
      <c r="X47">
        <f t="shared" si="2"/>
        <v>0.10489699257226826</v>
      </c>
      <c r="Y47">
        <f t="shared" si="2"/>
        <v>0.11448300077737263</v>
      </c>
      <c r="Z47">
        <f t="shared" si="2"/>
        <v>0.13484214770929712</v>
      </c>
      <c r="AA47">
        <f t="shared" si="2"/>
        <v>0.13857309983285646</v>
      </c>
      <c r="AB47">
        <f t="shared" si="2"/>
        <v>8.1881726229651508E-2</v>
      </c>
      <c r="AC47">
        <f t="shared" si="2"/>
        <v>0.10543363060850033</v>
      </c>
      <c r="AD47">
        <f t="shared" si="2"/>
        <v>9.4682070732651752E-2</v>
      </c>
    </row>
    <row r="48" spans="3:30" x14ac:dyDescent="0.35">
      <c r="C48" s="2" t="s">
        <v>16</v>
      </c>
      <c r="D48">
        <f t="shared" si="1"/>
        <v>0.128728263742099</v>
      </c>
      <c r="E48">
        <f t="shared" si="2"/>
        <v>0.13454292557938377</v>
      </c>
      <c r="F48">
        <f t="shared" si="2"/>
        <v>0.13315556627688571</v>
      </c>
      <c r="G48">
        <f t="shared" si="2"/>
        <v>0.12017245266311744</v>
      </c>
      <c r="H48">
        <f t="shared" si="2"/>
        <v>0.12309412136808484</v>
      </c>
      <c r="I48">
        <f t="shared" si="2"/>
        <v>0.11392826399464664</v>
      </c>
      <c r="J48">
        <f t="shared" ref="E48:AD51" si="3">SQRT(J22)</f>
        <v>0.14238909810207029</v>
      </c>
      <c r="K48">
        <f t="shared" si="3"/>
        <v>0.14589333754166123</v>
      </c>
      <c r="L48">
        <f t="shared" si="3"/>
        <v>0.13323599687064566</v>
      </c>
      <c r="M48">
        <f t="shared" si="3"/>
        <v>0.10702461855674936</v>
      </c>
      <c r="N48">
        <f t="shared" si="3"/>
        <v>9.5135191528537694E-2</v>
      </c>
      <c r="O48">
        <f t="shared" si="3"/>
        <v>0.11432231216701183</v>
      </c>
      <c r="P48">
        <f t="shared" si="3"/>
        <v>0.12766154626927562</v>
      </c>
      <c r="Q48">
        <f t="shared" si="3"/>
        <v>7.1478797959335122E-2</v>
      </c>
      <c r="R48">
        <f t="shared" si="3"/>
        <v>0.11316211097878785</v>
      </c>
      <c r="S48">
        <f t="shared" si="3"/>
        <v>0.13420257331971061</v>
      </c>
      <c r="T48">
        <f t="shared" si="3"/>
        <v>9.9777710828793414E-2</v>
      </c>
      <c r="U48">
        <f t="shared" si="3"/>
        <v>0.13707271766124066</v>
      </c>
      <c r="V48">
        <f t="shared" si="3"/>
        <v>0.1154439231483403</v>
      </c>
      <c r="W48">
        <f t="shared" si="3"/>
        <v>0.11547624696749112</v>
      </c>
      <c r="X48">
        <f t="shared" si="3"/>
        <v>0.11408311284663826</v>
      </c>
      <c r="Y48">
        <f t="shared" si="3"/>
        <v>0.1325446071713674</v>
      </c>
      <c r="Z48">
        <f t="shared" si="3"/>
        <v>0.13781197809459741</v>
      </c>
      <c r="AA48">
        <f t="shared" si="3"/>
        <v>0.12673440081514017</v>
      </c>
      <c r="AB48">
        <f t="shared" si="3"/>
        <v>0.12306850921947336</v>
      </c>
      <c r="AC48">
        <f t="shared" si="3"/>
        <v>0.12935624866738599</v>
      </c>
      <c r="AD48">
        <f t="shared" si="3"/>
        <v>0.10995779452560651</v>
      </c>
    </row>
    <row r="49" spans="3:30" x14ac:dyDescent="0.35">
      <c r="C49" s="3" t="s">
        <v>18</v>
      </c>
      <c r="D49">
        <f t="shared" si="1"/>
        <v>0.11824348442791087</v>
      </c>
      <c r="E49">
        <f t="shared" si="3"/>
        <v>8.5716671830448662E-2</v>
      </c>
      <c r="F49">
        <f t="shared" si="3"/>
        <v>8.1790332335830981E-2</v>
      </c>
      <c r="G49">
        <f t="shared" si="3"/>
        <v>8.6649999703693886E-2</v>
      </c>
      <c r="H49">
        <f t="shared" si="3"/>
        <v>7.2266735081840588E-2</v>
      </c>
      <c r="I49">
        <f t="shared" si="3"/>
        <v>6.1523015619693901E-2</v>
      </c>
      <c r="J49">
        <f t="shared" si="3"/>
        <v>0.10989747133232912</v>
      </c>
      <c r="K49">
        <f t="shared" si="3"/>
        <v>5.4532587473849252E-2</v>
      </c>
      <c r="L49">
        <f t="shared" si="3"/>
        <v>8.1709291415188581E-2</v>
      </c>
      <c r="M49">
        <f t="shared" si="3"/>
        <v>5.5353740500528326E-2</v>
      </c>
      <c r="N49">
        <f t="shared" si="3"/>
        <v>6.2318983865617066E-2</v>
      </c>
      <c r="O49">
        <f t="shared" si="3"/>
        <v>6.2742001967027006E-2</v>
      </c>
      <c r="P49">
        <f t="shared" si="3"/>
        <v>0.12151258074200096</v>
      </c>
      <c r="Q49">
        <f t="shared" si="3"/>
        <v>0.15265805960677836</v>
      </c>
      <c r="R49">
        <f t="shared" si="3"/>
        <v>0.12282164251316947</v>
      </c>
      <c r="S49">
        <f t="shared" si="3"/>
        <v>8.6010614759677778E-2</v>
      </c>
      <c r="T49">
        <f t="shared" si="3"/>
        <v>0.14556628534608143</v>
      </c>
      <c r="U49">
        <f t="shared" si="3"/>
        <v>6.6062136122109538E-2</v>
      </c>
      <c r="V49">
        <f t="shared" si="3"/>
        <v>9.7706270697859005E-2</v>
      </c>
      <c r="W49">
        <f t="shared" si="3"/>
        <v>8.2840106445012371E-2</v>
      </c>
      <c r="X49">
        <f t="shared" si="3"/>
        <v>6.8601545831613292E-2</v>
      </c>
      <c r="Y49">
        <f t="shared" si="3"/>
        <v>8.936867424220335E-2</v>
      </c>
      <c r="Z49">
        <f t="shared" si="3"/>
        <v>5.3783648121636378E-2</v>
      </c>
      <c r="AA49">
        <f t="shared" si="3"/>
        <v>6.5660112824147965E-2</v>
      </c>
      <c r="AB49">
        <f t="shared" si="3"/>
        <v>8.0634546574332014E-2</v>
      </c>
      <c r="AC49">
        <f t="shared" si="3"/>
        <v>1.8414153769216169E-2</v>
      </c>
      <c r="AD49">
        <f t="shared" si="3"/>
        <v>7.9033583594706247E-2</v>
      </c>
    </row>
    <row r="50" spans="3:30" x14ac:dyDescent="0.35">
      <c r="C50" s="2" t="s">
        <v>19</v>
      </c>
      <c r="D50">
        <f t="shared" si="1"/>
        <v>6.735630543143159E-2</v>
      </c>
      <c r="E50">
        <f t="shared" si="3"/>
        <v>0.11212879394812601</v>
      </c>
      <c r="F50">
        <f t="shared" si="3"/>
        <v>6.262844366419279E-2</v>
      </c>
      <c r="G50">
        <f t="shared" si="3"/>
        <v>0.11215539739070296</v>
      </c>
      <c r="H50">
        <f t="shared" si="3"/>
        <v>0.11171708046649804</v>
      </c>
      <c r="I50">
        <f t="shared" si="3"/>
        <v>8.6416182154269924E-2</v>
      </c>
      <c r="J50">
        <f t="shared" si="3"/>
        <v>3.1540717507562904E-2</v>
      </c>
      <c r="K50">
        <f t="shared" si="3"/>
        <v>2.3215685096331984E-2</v>
      </c>
      <c r="L50">
        <f t="shared" si="3"/>
        <v>5.7765020134183366E-2</v>
      </c>
      <c r="M50">
        <f t="shared" si="3"/>
        <v>7.2265694290643612E-2</v>
      </c>
      <c r="N50">
        <f t="shared" si="3"/>
        <v>0.11126356833108896</v>
      </c>
      <c r="O50">
        <f t="shared" si="3"/>
        <v>8.6738611055364956E-2</v>
      </c>
      <c r="P50">
        <f t="shared" si="3"/>
        <v>3.4647056007944307E-2</v>
      </c>
      <c r="Q50">
        <f t="shared" si="3"/>
        <v>0.15782063546351252</v>
      </c>
      <c r="R50">
        <f t="shared" si="3"/>
        <v>4.2826226873770586E-2</v>
      </c>
      <c r="S50">
        <f t="shared" si="3"/>
        <v>3.9609363876265166E-2</v>
      </c>
      <c r="T50">
        <f t="shared" si="3"/>
        <v>8.2004598308552432E-2</v>
      </c>
      <c r="U50">
        <f t="shared" si="3"/>
        <v>7.3940956635186156E-2</v>
      </c>
      <c r="V50">
        <f t="shared" si="3"/>
        <v>9.666622354085945E-2</v>
      </c>
      <c r="W50">
        <f t="shared" si="3"/>
        <v>0.10545162700957582</v>
      </c>
      <c r="X50">
        <f t="shared" si="3"/>
        <v>8.8619041089672598E-2</v>
      </c>
      <c r="Y50">
        <f t="shared" si="3"/>
        <v>9.1935307632571184E-2</v>
      </c>
      <c r="Z50">
        <f t="shared" si="3"/>
        <v>7.0740805145962191E-2</v>
      </c>
      <c r="AA50">
        <f t="shared" si="3"/>
        <v>0.11061820558290711</v>
      </c>
      <c r="AB50">
        <f t="shared" si="3"/>
        <v>0.10634389902168248</v>
      </c>
      <c r="AC50">
        <f t="shared" si="3"/>
        <v>7.3651406318203799E-2</v>
      </c>
      <c r="AD50">
        <f t="shared" si="3"/>
        <v>0.10774206489484643</v>
      </c>
    </row>
    <row r="51" spans="3:30" x14ac:dyDescent="0.35">
      <c r="C51" s="4" t="s">
        <v>20</v>
      </c>
      <c r="D51">
        <f t="shared" si="1"/>
        <v>7.9186120000663052E-2</v>
      </c>
      <c r="E51">
        <f t="shared" si="3"/>
        <v>9.5096591945131134E-2</v>
      </c>
      <c r="F51">
        <f t="shared" si="3"/>
        <v>0.11610740186521573</v>
      </c>
      <c r="G51">
        <f t="shared" si="3"/>
        <v>9.4354725926168323E-2</v>
      </c>
      <c r="H51">
        <f t="shared" si="3"/>
        <v>0.10246650516228316</v>
      </c>
      <c r="I51">
        <f t="shared" si="3"/>
        <v>0.10628157220306585</v>
      </c>
      <c r="J51">
        <f t="shared" si="3"/>
        <v>0.12485140417653941</v>
      </c>
      <c r="K51">
        <f t="shared" si="3"/>
        <v>0.1292345994960386</v>
      </c>
      <c r="L51">
        <f t="shared" si="3"/>
        <v>0.11377187450955838</v>
      </c>
      <c r="M51">
        <f t="shared" si="3"/>
        <v>0.10661236063909101</v>
      </c>
      <c r="N51">
        <f t="shared" si="3"/>
        <v>6.113279856267477E-2</v>
      </c>
      <c r="O51">
        <f t="shared" si="3"/>
        <v>0.10595469986212881</v>
      </c>
      <c r="P51">
        <f t="shared" si="3"/>
        <v>9.7946862534637066E-2</v>
      </c>
      <c r="Q51">
        <f t="shared" si="3"/>
        <v>4.990107199209011E-2</v>
      </c>
      <c r="R51">
        <f t="shared" si="3"/>
        <v>6.8083561531060932E-2</v>
      </c>
      <c r="S51">
        <f t="shared" si="3"/>
        <v>0.11173412894052291</v>
      </c>
      <c r="T51">
        <f t="shared" si="3"/>
        <v>7.6213403356886381E-2</v>
      </c>
      <c r="U51">
        <f t="shared" si="3"/>
        <v>0.11683810869106492</v>
      </c>
      <c r="V51">
        <f t="shared" si="3"/>
        <v>0.10210080423686388</v>
      </c>
      <c r="W51">
        <f t="shared" si="3"/>
        <v>9.2277868152507297E-2</v>
      </c>
      <c r="X51">
        <f t="shared" si="3"/>
        <v>0.10488059002690489</v>
      </c>
      <c r="Y51">
        <f t="shared" si="3"/>
        <v>0.14351641328605205</v>
      </c>
      <c r="Z51">
        <f t="shared" si="3"/>
        <v>0.13797682441927883</v>
      </c>
      <c r="AA51">
        <f t="shared" si="3"/>
        <v>0.14201440379148272</v>
      </c>
      <c r="AB51">
        <f t="shared" si="3"/>
        <v>0.11359190480085365</v>
      </c>
      <c r="AC51">
        <f t="shared" si="3"/>
        <v>0.13132469748086953</v>
      </c>
      <c r="AD51">
        <f t="shared" si="3"/>
        <v>9.0946312271985283E-2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61DC-B37C-4F50-BFB4-8F345C48698B}">
  <dimension ref="A1:B25"/>
  <sheetViews>
    <sheetView workbookViewId="0">
      <selection activeCell="B28" sqref="B28"/>
    </sheetView>
  </sheetViews>
  <sheetFormatPr defaultRowHeight="14.5" x14ac:dyDescent="0.35"/>
  <cols>
    <col min="1" max="1" width="28" customWidth="1"/>
    <col min="2" max="2" width="134.7265625" bestFit="1" customWidth="1"/>
  </cols>
  <sheetData>
    <row r="1" spans="1:2" x14ac:dyDescent="0.35">
      <c r="A1" t="s">
        <v>87</v>
      </c>
      <c r="B1" t="s">
        <v>88</v>
      </c>
    </row>
    <row r="2" spans="1:2" x14ac:dyDescent="0.35">
      <c r="A2" s="2" t="s">
        <v>1</v>
      </c>
      <c r="B2" t="s">
        <v>89</v>
      </c>
    </row>
    <row r="3" spans="1:2" x14ac:dyDescent="0.35">
      <c r="A3" s="3" t="s">
        <v>8</v>
      </c>
      <c r="B3" t="s">
        <v>90</v>
      </c>
    </row>
    <row r="4" spans="1:2" x14ac:dyDescent="0.35">
      <c r="A4" s="2" t="s">
        <v>22</v>
      </c>
      <c r="B4" t="s">
        <v>91</v>
      </c>
    </row>
    <row r="5" spans="1:2" x14ac:dyDescent="0.35">
      <c r="A5" s="3" t="s">
        <v>23</v>
      </c>
      <c r="B5" t="s">
        <v>92</v>
      </c>
    </row>
    <row r="6" spans="1:2" x14ac:dyDescent="0.35">
      <c r="A6" s="2" t="s">
        <v>24</v>
      </c>
      <c r="B6" t="s">
        <v>93</v>
      </c>
    </row>
    <row r="7" spans="1:2" x14ac:dyDescent="0.35">
      <c r="A7" s="3" t="s">
        <v>3</v>
      </c>
      <c r="B7" t="s">
        <v>94</v>
      </c>
    </row>
    <row r="8" spans="1:2" x14ac:dyDescent="0.35">
      <c r="A8" s="2" t="s">
        <v>4</v>
      </c>
      <c r="B8" t="s">
        <v>95</v>
      </c>
    </row>
    <row r="9" spans="1:2" x14ac:dyDescent="0.35">
      <c r="A9" s="3" t="s">
        <v>6</v>
      </c>
      <c r="B9" t="s">
        <v>96</v>
      </c>
    </row>
    <row r="10" spans="1:2" x14ac:dyDescent="0.35">
      <c r="A10" s="2" t="s">
        <v>5</v>
      </c>
      <c r="B10" t="s">
        <v>97</v>
      </c>
    </row>
    <row r="11" spans="1:2" x14ac:dyDescent="0.35">
      <c r="A11" s="3" t="s">
        <v>17</v>
      </c>
      <c r="B11" t="s">
        <v>98</v>
      </c>
    </row>
    <row r="12" spans="1:2" x14ac:dyDescent="0.35">
      <c r="A12" s="2" t="s">
        <v>21</v>
      </c>
      <c r="B12" t="s">
        <v>99</v>
      </c>
    </row>
    <row r="13" spans="1:2" x14ac:dyDescent="0.35">
      <c r="A13" s="3" t="s">
        <v>2</v>
      </c>
      <c r="B13" t="s">
        <v>100</v>
      </c>
    </row>
    <row r="14" spans="1:2" x14ac:dyDescent="0.35">
      <c r="A14" s="2" t="s">
        <v>7</v>
      </c>
      <c r="B14" t="s">
        <v>101</v>
      </c>
    </row>
    <row r="15" spans="1:2" x14ac:dyDescent="0.35">
      <c r="A15" s="3" t="s">
        <v>9</v>
      </c>
      <c r="B15" t="s">
        <v>106</v>
      </c>
    </row>
    <row r="16" spans="1:2" x14ac:dyDescent="0.35">
      <c r="A16" s="2" t="s">
        <v>10</v>
      </c>
      <c r="B16" t="s">
        <v>107</v>
      </c>
    </row>
    <row r="17" spans="1:2" x14ac:dyDescent="0.35">
      <c r="A17" s="3" t="s">
        <v>11</v>
      </c>
      <c r="B17" t="s">
        <v>108</v>
      </c>
    </row>
    <row r="18" spans="1:2" x14ac:dyDescent="0.35">
      <c r="A18" s="2" t="s">
        <v>12</v>
      </c>
      <c r="B18" t="s">
        <v>109</v>
      </c>
    </row>
    <row r="19" spans="1:2" x14ac:dyDescent="0.35">
      <c r="A19" s="3" t="s">
        <v>13</v>
      </c>
      <c r="B19" t="s">
        <v>110</v>
      </c>
    </row>
    <row r="20" spans="1:2" x14ac:dyDescent="0.35">
      <c r="A20" s="2" t="s">
        <v>14</v>
      </c>
      <c r="B20" t="s">
        <v>111</v>
      </c>
    </row>
    <row r="21" spans="1:2" x14ac:dyDescent="0.35">
      <c r="A21" s="3" t="s">
        <v>15</v>
      </c>
      <c r="B21" t="s">
        <v>112</v>
      </c>
    </row>
    <row r="22" spans="1:2" x14ac:dyDescent="0.35">
      <c r="A22" s="2" t="s">
        <v>16</v>
      </c>
      <c r="B22" t="s">
        <v>102</v>
      </c>
    </row>
    <row r="23" spans="1:2" x14ac:dyDescent="0.35">
      <c r="A23" s="3" t="s">
        <v>18</v>
      </c>
      <c r="B23" t="s">
        <v>103</v>
      </c>
    </row>
    <row r="24" spans="1:2" x14ac:dyDescent="0.35">
      <c r="A24" s="2" t="s">
        <v>19</v>
      </c>
      <c r="B24" t="s">
        <v>104</v>
      </c>
    </row>
    <row r="25" spans="1:2" x14ac:dyDescent="0.35">
      <c r="A25" s="4" t="s">
        <v>20</v>
      </c>
      <c r="B2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feature_importance_matrix_with_</vt:lpstr>
      <vt:lpstr>feature importance graph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Tryg Nelson</cp:lastModifiedBy>
  <dcterms:created xsi:type="dcterms:W3CDTF">2025-10-27T19:45:56Z</dcterms:created>
  <dcterms:modified xsi:type="dcterms:W3CDTF">2025-10-27T19:46:02Z</dcterms:modified>
</cp:coreProperties>
</file>